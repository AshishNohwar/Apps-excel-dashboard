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hidePivotFieldList="1"/>
  <mc:AlternateContent xmlns:mc="http://schemas.openxmlformats.org/markup-compatibility/2006">
    <mc:Choice Requires="x15">
      <x15ac:absPath xmlns:x15ac="http://schemas.microsoft.com/office/spreadsheetml/2010/11/ac" url="C:\Users\HP\OneDrive\Desktop\excel project\udemy excel project\"/>
    </mc:Choice>
  </mc:AlternateContent>
  <xr:revisionPtr revIDLastSave="0" documentId="8_{49FE9F6B-D448-4F3F-A6AE-C5D8E8DCF39D}" xr6:coauthVersionLast="47" xr6:coauthVersionMax="47" xr10:uidLastSave="{00000000-0000-0000-0000-000000000000}"/>
  <bookViews>
    <workbookView xWindow="-120" yWindow="-120" windowWidth="20730" windowHeight="11160" xr2:uid="{CE77ECF1-2E4B-476D-A521-3339503E0BC4}"/>
  </bookViews>
  <sheets>
    <sheet name="Dashboard" sheetId="3" r:id="rId1"/>
    <sheet name="Calculation" sheetId="2" state="veryHidden" r:id="rId2"/>
    <sheet name="Data" sheetId="1" state="veryHidden" r:id="rId3"/>
  </sheets>
  <definedNames>
    <definedName name="_xlchart.v1.0" hidden="1">Calculation!$K$31:$K$32</definedName>
    <definedName name="_xlchart.v1.1" hidden="1">Calculation!$K$33</definedName>
    <definedName name="_xlchart.v1.2" hidden="1">Calculation!$M$30:$M$31</definedName>
    <definedName name="_xlchart.v1.3" hidden="1">Calculation!$M$32:$M$33</definedName>
    <definedName name="_xlchart.v1.4" hidden="1">Calculation!$N$30:$N$31</definedName>
    <definedName name="_xlchart.v1.5" hidden="1">Calculation!$N$32:$N$33</definedName>
    <definedName name="_xlchart.v1.6" hidden="1">Calculation!$O$30:$O$31</definedName>
    <definedName name="_xlchart.v1.7" hidden="1">Calculation!$O$32:$O$33</definedName>
    <definedName name="game">Calculation!$B$54</definedName>
    <definedName name="logo">INDIRECT(Calculation!$A$6)</definedName>
    <definedName name="Productivity">Calculation!$B$53</definedName>
    <definedName name="Slicer_Division">#N/A</definedName>
    <definedName name="Slicer_Region">#N/A</definedName>
    <definedName name="Utility">Calculation!$B$52</definedName>
  </definedNames>
  <calcPr calcId="191029"/>
  <pivotCaches>
    <pivotCache cacheId="56"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5" i="2" l="1"/>
  <c r="L32" i="2"/>
  <c r="L33" i="2"/>
  <c r="L31" i="2"/>
  <c r="O33" i="2" l="1"/>
  <c r="M33" i="2"/>
  <c r="O32" i="2"/>
  <c r="M31" i="2"/>
  <c r="O31" i="2"/>
  <c r="M32" i="2"/>
  <c r="B7" i="3"/>
  <c r="B8" i="2"/>
  <c r="G6" i="2"/>
  <c r="G7" i="2"/>
  <c r="G8" i="2"/>
  <c r="G9" i="2"/>
  <c r="G10" i="2"/>
  <c r="N32" i="2" l="1"/>
  <c r="N33" i="2"/>
  <c r="N31" i="2"/>
  <c r="L7" i="2"/>
  <c r="L6" i="2"/>
  <c r="L5" i="2"/>
  <c r="H10" i="2"/>
  <c r="I10" i="2"/>
  <c r="I7" i="2"/>
  <c r="I9" i="2"/>
  <c r="I8" i="2"/>
  <c r="I6" i="2"/>
  <c r="H9" i="2"/>
  <c r="H8" i="2"/>
  <c r="H7" i="2"/>
  <c r="H6" i="2"/>
</calcChain>
</file>

<file path=xl/sharedStrings.xml><?xml version="1.0" encoding="utf-8"?>
<sst xmlns="http://schemas.openxmlformats.org/spreadsheetml/2006/main" count="140" uniqueCount="35">
  <si>
    <t>Year</t>
  </si>
  <si>
    <t>Division</t>
  </si>
  <si>
    <t>Region</t>
  </si>
  <si>
    <t>Revenue</t>
  </si>
  <si>
    <t>Current</t>
  </si>
  <si>
    <t>Utility</t>
  </si>
  <si>
    <t>North America</t>
  </si>
  <si>
    <t>South America</t>
  </si>
  <si>
    <t>Asia</t>
  </si>
  <si>
    <t>Europe</t>
  </si>
  <si>
    <t>Australia</t>
  </si>
  <si>
    <t>Productivity</t>
  </si>
  <si>
    <t>Game</t>
  </si>
  <si>
    <t>PY</t>
  </si>
  <si>
    <t>Selected Information</t>
  </si>
  <si>
    <t>Data Table by Region for Chart</t>
  </si>
  <si>
    <t>For Header Text</t>
  </si>
  <si>
    <t>Select Logo</t>
  </si>
  <si>
    <t>Row Labels</t>
  </si>
  <si>
    <t>Max</t>
  </si>
  <si>
    <t>Average</t>
  </si>
  <si>
    <t>Total Revenue for selection</t>
  </si>
  <si>
    <t>Min</t>
  </si>
  <si>
    <t>Revenue by Region - Pivot table</t>
  </si>
  <si>
    <t>Column Labels</t>
  </si>
  <si>
    <t xml:space="preserve"> Revenue</t>
  </si>
  <si>
    <t>%∆PY</t>
  </si>
  <si>
    <t>Total</t>
  </si>
  <si>
    <t xml:space="preserve"> </t>
  </si>
  <si>
    <t>For Chart - Div. Revenue by Region</t>
  </si>
  <si>
    <t>game</t>
  </si>
  <si>
    <t>Stack  1</t>
  </si>
  <si>
    <t>Stack 2</t>
  </si>
  <si>
    <t>Stack3</t>
  </si>
  <si>
    <t xml:space="preserve"> Division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</si>
</sst>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5" formatCode="[$$-409]#,##0"/>
    <numFmt numFmtId="167" formatCode="0.0%"/>
  </numFmts>
  <fonts count="9" x14ac:knownFonts="1">
    <font>
      <sz val="11"/>
      <color theme="1"/>
      <name val="Calibri"/>
      <family val="2"/>
      <scheme val="minor"/>
    </font>
    <font>
      <b/>
      <sz val="11"/>
      <color theme="0"/>
      <name val="Calibri"/>
      <family val="2"/>
      <scheme val="minor"/>
    </font>
    <font>
      <b/>
      <sz val="11"/>
      <color theme="1"/>
      <name val="Calibri"/>
      <family val="2"/>
      <scheme val="minor"/>
    </font>
    <font>
      <b/>
      <sz val="11"/>
      <color theme="1" tint="4.9989318521683403E-2"/>
      <name val="Calibri"/>
      <family val="2"/>
      <scheme val="minor"/>
    </font>
    <font>
      <b/>
      <sz val="11"/>
      <name val="Calibri"/>
      <family val="2"/>
      <scheme val="minor"/>
    </font>
    <font>
      <sz val="14"/>
      <color theme="5"/>
      <name val="Calibri"/>
      <family val="2"/>
      <scheme val="minor"/>
    </font>
    <font>
      <sz val="12"/>
      <color theme="1"/>
      <name val="Calibri"/>
      <family val="2"/>
      <scheme val="minor"/>
    </font>
    <font>
      <b/>
      <sz val="12"/>
      <color theme="1"/>
      <name val="Calibri"/>
      <family val="2"/>
      <scheme val="minor"/>
    </font>
    <font>
      <sz val="10"/>
      <color theme="1"/>
      <name val="Calibri"/>
      <family val="2"/>
      <scheme val="minor"/>
    </font>
  </fonts>
  <fills count="8">
    <fill>
      <patternFill patternType="none"/>
    </fill>
    <fill>
      <patternFill patternType="gray125"/>
    </fill>
    <fill>
      <patternFill patternType="solid">
        <fgColor theme="8" tint="0.39997558519241921"/>
        <bgColor indexed="64"/>
      </patternFill>
    </fill>
    <fill>
      <patternFill patternType="solid">
        <fgColor rgb="FF638EC6"/>
        <bgColor indexed="64"/>
      </patternFill>
    </fill>
    <fill>
      <patternFill patternType="solid">
        <fgColor theme="8" tint="0.59999389629810485"/>
        <bgColor indexed="64"/>
      </patternFill>
    </fill>
    <fill>
      <patternFill patternType="solid">
        <fgColor theme="1" tint="0.249977111117893"/>
        <bgColor indexed="64"/>
      </patternFill>
    </fill>
    <fill>
      <patternFill patternType="solid">
        <fgColor theme="9" tint="0.39997558519241921"/>
        <bgColor indexed="64"/>
      </patternFill>
    </fill>
    <fill>
      <patternFill patternType="solid">
        <fgColor theme="8" tint="-0.249977111117893"/>
        <bgColor indexed="64"/>
      </patternFill>
    </fill>
  </fills>
  <borders count="1">
    <border>
      <left/>
      <right/>
      <top/>
      <bottom/>
      <diagonal/>
    </border>
  </borders>
  <cellStyleXfs count="1">
    <xf numFmtId="0" fontId="0" fillId="0" borderId="0"/>
  </cellStyleXfs>
  <cellXfs count="28">
    <xf numFmtId="0" fontId="0" fillId="0" borderId="0" xfId="0"/>
    <xf numFmtId="0" fontId="1" fillId="2" borderId="0" xfId="0" applyFont="1" applyFill="1"/>
    <xf numFmtId="0" fontId="3" fillId="3" borderId="0" xfId="0" applyFont="1" applyFill="1"/>
    <xf numFmtId="0" fontId="0" fillId="3" borderId="0" xfId="0" applyFill="1"/>
    <xf numFmtId="0" fontId="0" fillId="0" borderId="0" xfId="0" pivotButton="1"/>
    <xf numFmtId="0" fontId="0" fillId="0" borderId="0" xfId="0" applyAlignment="1">
      <alignment horizontal="left"/>
    </xf>
    <xf numFmtId="3" fontId="0" fillId="0" borderId="0" xfId="0" applyNumberFormat="1"/>
    <xf numFmtId="3" fontId="0" fillId="0" borderId="0" xfId="0" applyNumberFormat="1" applyFont="1"/>
    <xf numFmtId="0" fontId="4" fillId="2" borderId="0" xfId="0" applyFont="1" applyFill="1"/>
    <xf numFmtId="0" fontId="2" fillId="4" borderId="0" xfId="0" applyFont="1" applyFill="1"/>
    <xf numFmtId="0" fontId="4" fillId="4" borderId="0" xfId="0" applyFont="1" applyFill="1"/>
    <xf numFmtId="0" fontId="0" fillId="5" borderId="0" xfId="0" applyFill="1"/>
    <xf numFmtId="0" fontId="0" fillId="6" borderId="0" xfId="0" applyFill="1"/>
    <xf numFmtId="0" fontId="5" fillId="5" borderId="0" xfId="0" applyFont="1" applyFill="1"/>
    <xf numFmtId="165" fontId="0" fillId="0" borderId="0" xfId="0" applyNumberFormat="1"/>
    <xf numFmtId="0" fontId="2" fillId="7" borderId="0" xfId="0" applyFont="1" applyFill="1"/>
    <xf numFmtId="0" fontId="0" fillId="7" borderId="0" xfId="0" applyFill="1"/>
    <xf numFmtId="0" fontId="6" fillId="0" borderId="0" xfId="0" pivotButton="1" applyFont="1"/>
    <xf numFmtId="0" fontId="6" fillId="0" borderId="0" xfId="0" applyFont="1"/>
    <xf numFmtId="0" fontId="7" fillId="0" borderId="0" xfId="0" applyFont="1" applyAlignment="1">
      <alignment horizontal="left"/>
    </xf>
    <xf numFmtId="3" fontId="6" fillId="0" borderId="0" xfId="0" applyNumberFormat="1" applyFont="1"/>
    <xf numFmtId="0" fontId="6" fillId="0" borderId="0" xfId="0" applyFont="1" applyAlignment="1">
      <alignment horizontal="left"/>
    </xf>
    <xf numFmtId="10" fontId="6" fillId="0" borderId="0" xfId="0" applyNumberFormat="1" applyFont="1"/>
    <xf numFmtId="0" fontId="6" fillId="0" borderId="0" xfId="0" applyFont="1" applyAlignment="1">
      <alignment horizontal="right"/>
    </xf>
    <xf numFmtId="0" fontId="0" fillId="0" borderId="0" xfId="0" applyFont="1" applyAlignment="1">
      <alignment horizontal="right"/>
    </xf>
    <xf numFmtId="10" fontId="8" fillId="0" borderId="0" xfId="0" applyNumberFormat="1" applyFont="1"/>
    <xf numFmtId="167" fontId="0" fillId="0" borderId="0" xfId="0" applyNumberFormat="1" applyFont="1"/>
    <xf numFmtId="0" fontId="2" fillId="3" borderId="0" xfId="0" applyFont="1" applyFill="1"/>
  </cellXfs>
  <cellStyles count="1">
    <cellStyle name="Normal" xfId="0" builtinId="0"/>
  </cellStyles>
  <dxfs count="97">
    <dxf>
      <numFmt numFmtId="3" formatCode="#,##0"/>
    </dxf>
    <dxf>
      <numFmt numFmtId="14" formatCode="0.00%"/>
    </dxf>
    <dxf>
      <font>
        <b/>
      </font>
    </dxf>
    <dxf>
      <font>
        <sz val="12"/>
      </font>
    </dxf>
    <dxf>
      <font>
        <sz val="11"/>
      </font>
    </dxf>
    <dxf>
      <font>
        <sz val="11"/>
      </font>
    </dxf>
    <dxf>
      <alignment horizontal="right"/>
    </dxf>
    <dxf>
      <alignment horizontal="right"/>
    </dxf>
    <dxf>
      <alignment horizontal="right"/>
    </dxf>
    <dxf>
      <numFmt numFmtId="14" formatCode="0.00%"/>
    </dxf>
    <dxf>
      <font>
        <sz val="10"/>
      </font>
    </dxf>
    <dxf>
      <numFmt numFmtId="167" formatCode="0.0%"/>
    </dxf>
    <dxf>
      <font>
        <b val="0"/>
      </font>
    </dxf>
    <dxf>
      <font>
        <b val="0"/>
      </font>
    </dxf>
    <dxf>
      <numFmt numFmtId="3" formatCode="#,##0"/>
    </dxf>
    <dxf>
      <numFmt numFmtId="14" formatCode="0.00%"/>
    </dxf>
    <dxf>
      <font>
        <b/>
      </font>
    </dxf>
    <dxf>
      <font>
        <sz val="12"/>
      </font>
    </dxf>
    <dxf>
      <font>
        <sz val="11"/>
      </font>
    </dxf>
    <dxf>
      <font>
        <sz val="11"/>
      </font>
    </dxf>
    <dxf>
      <alignment horizontal="right"/>
    </dxf>
    <dxf>
      <alignment horizontal="right"/>
    </dxf>
    <dxf>
      <alignment horizontal="right"/>
    </dxf>
    <dxf>
      <numFmt numFmtId="14" formatCode="0.00%"/>
    </dxf>
    <dxf>
      <font>
        <sz val="10"/>
      </font>
    </dxf>
    <dxf>
      <numFmt numFmtId="167" formatCode="0.0%"/>
    </dxf>
    <dxf>
      <font>
        <b val="0"/>
      </font>
    </dxf>
    <dxf>
      <font>
        <b val="0"/>
      </font>
    </dxf>
    <dxf>
      <numFmt numFmtId="3" formatCode="#,##0"/>
    </dxf>
    <dxf>
      <numFmt numFmtId="14" formatCode="0.00%"/>
    </dxf>
    <dxf>
      <font>
        <b/>
      </font>
    </dxf>
    <dxf>
      <font>
        <sz val="12"/>
      </font>
    </dxf>
    <dxf>
      <font>
        <sz val="11"/>
      </font>
    </dxf>
    <dxf>
      <font>
        <sz val="11"/>
      </font>
    </dxf>
    <dxf>
      <alignment horizontal="right"/>
    </dxf>
    <dxf>
      <alignment horizontal="right"/>
    </dxf>
    <dxf>
      <alignment horizontal="right"/>
    </dxf>
    <dxf>
      <numFmt numFmtId="14" formatCode="0.00%"/>
    </dxf>
    <dxf>
      <font>
        <sz val="10"/>
      </font>
    </dxf>
    <dxf>
      <numFmt numFmtId="167" formatCode="0.0%"/>
    </dxf>
    <dxf>
      <font>
        <b val="0"/>
      </font>
    </dxf>
    <dxf>
      <font>
        <b val="0"/>
      </font>
    </dxf>
    <dxf>
      <numFmt numFmtId="3" formatCode="#,##0"/>
    </dxf>
    <dxf>
      <numFmt numFmtId="14" formatCode="0.00%"/>
    </dxf>
    <dxf>
      <font>
        <b/>
      </font>
    </dxf>
    <dxf>
      <font>
        <sz val="12"/>
      </font>
    </dxf>
    <dxf>
      <font>
        <sz val="11"/>
      </font>
    </dxf>
    <dxf>
      <font>
        <sz val="11"/>
      </font>
    </dxf>
    <dxf>
      <alignment horizontal="right"/>
    </dxf>
    <dxf>
      <alignment horizontal="right"/>
    </dxf>
    <dxf>
      <alignment horizontal="right"/>
    </dxf>
    <dxf>
      <numFmt numFmtId="14" formatCode="0.00%"/>
    </dxf>
    <dxf>
      <font>
        <sz val="10"/>
      </font>
    </dxf>
    <dxf>
      <numFmt numFmtId="167" formatCode="0.0%"/>
    </dxf>
    <dxf>
      <font>
        <b val="0"/>
      </font>
    </dxf>
    <dxf>
      <font>
        <b val="0"/>
      </font>
    </dxf>
    <dxf>
      <font>
        <b val="0"/>
      </font>
    </dxf>
    <dxf>
      <font>
        <b val="0"/>
      </font>
    </dxf>
    <dxf>
      <fill>
        <patternFill>
          <bgColor rgb="FFFCFCFC"/>
        </patternFill>
      </fill>
    </dxf>
    <dxf>
      <fill>
        <patternFill patternType="solid">
          <fgColor theme="0" tint="-0.14999847407452621"/>
          <bgColor theme="0" tint="-0.14999847407452621"/>
        </patternFill>
      </fill>
      <border>
        <bottom style="thin">
          <color theme="0" tint="-0.34998626667073579"/>
        </bottom>
      </border>
    </dxf>
    <dxf>
      <fill>
        <patternFill patternType="solid">
          <fgColor theme="0" tint="-0.14999847407452621"/>
          <bgColor theme="0" tint="-0.14999847407452621"/>
        </patternFill>
      </fill>
      <border>
        <bottom style="thin">
          <color theme="0" tint="-0.34998626667073579"/>
        </bottom>
      </border>
    </dxf>
    <dxf>
      <font>
        <b/>
        <color theme="1"/>
      </font>
    </dxf>
    <dxf>
      <font>
        <b/>
        <color theme="1"/>
      </font>
      <border>
        <bottom style="thin">
          <color theme="0" tint="-0.34998626667073579"/>
        </bottom>
      </border>
    </dxf>
    <dxf>
      <font>
        <b/>
        <color theme="1"/>
      </font>
    </dxf>
    <dxf>
      <font>
        <b/>
        <color theme="1"/>
      </font>
      <border>
        <top style="thin">
          <color theme="1" tint="0.499984740745262"/>
        </top>
        <bottom style="thin">
          <color theme="1" tint="0.499984740745262"/>
        </bottom>
      </border>
    </dxf>
    <dxf>
      <fill>
        <patternFill patternType="solid">
          <fgColor theme="0" tint="-0.14999847407452621"/>
          <bgColor theme="0" tint="-0.14999847407452621"/>
        </patternFill>
      </fill>
    </dxf>
    <dxf>
      <fill>
        <patternFill patternType="solid">
          <fgColor theme="0" tint="-0.14999847407452621"/>
          <bgColor theme="0" tint="-0.14999847407452621"/>
        </patternFill>
      </fill>
      <border>
        <left style="thin">
          <color theme="0" tint="-0.249977111117893"/>
        </left>
        <right style="thin">
          <color theme="0" tint="-0.249977111117893"/>
        </right>
      </border>
    </dxf>
    <dxf>
      <fill>
        <patternFill patternType="solid">
          <fgColor theme="0" tint="-0.14999847407452621"/>
          <bgColor theme="0" tint="-0.14999847407452621"/>
        </patternFill>
      </fill>
    </dxf>
    <dxf>
      <font>
        <b/>
        <color theme="1"/>
      </font>
      <fill>
        <patternFill patternType="solid">
          <fgColor theme="0" tint="-0.14999847407452621"/>
          <bgColor theme="0" tint="-0.14999847407452621"/>
        </patternFill>
      </fill>
      <border>
        <top style="thin">
          <color theme="0" tint="-0.34998626667073579"/>
        </top>
      </border>
    </dxf>
    <dxf>
      <font>
        <b/>
        <color theme="1"/>
      </font>
      <fill>
        <patternFill patternType="solid">
          <fgColor theme="0" tint="-0.14999847407452621"/>
          <bgColor theme="0" tint="-0.14999847407452621"/>
        </patternFill>
      </fill>
      <border>
        <bottom style="thin">
          <color theme="0" tint="-0.34998626667073579"/>
        </bottom>
      </border>
    </dxf>
    <dxf>
      <fill>
        <patternFill>
          <bgColor rgb="FFFDFDFD"/>
        </patternFill>
      </fill>
    </dxf>
    <dxf>
      <fill>
        <patternFill patternType="solid">
          <fgColor theme="0" tint="-0.14999847407452621"/>
          <bgColor theme="0" tint="-0.14999847407452621"/>
        </patternFill>
      </fill>
      <border>
        <bottom style="thin">
          <color theme="0" tint="-0.34998626667073579"/>
        </bottom>
      </border>
    </dxf>
    <dxf>
      <fill>
        <patternFill patternType="solid">
          <fgColor theme="0" tint="-0.14999847407452621"/>
          <bgColor theme="0" tint="-0.14999847407452621"/>
        </patternFill>
      </fill>
      <border>
        <bottom style="thin">
          <color theme="0" tint="-0.34998626667073579"/>
        </bottom>
      </border>
    </dxf>
    <dxf>
      <font>
        <b/>
        <color theme="1"/>
      </font>
    </dxf>
    <dxf>
      <font>
        <b/>
        <color theme="1"/>
      </font>
      <border>
        <bottom style="thin">
          <color theme="0" tint="-0.34998626667073579"/>
        </bottom>
      </border>
    </dxf>
    <dxf>
      <font>
        <b/>
        <color theme="1"/>
      </font>
    </dxf>
    <dxf>
      <font>
        <b/>
        <color theme="1"/>
      </font>
      <border>
        <top style="thin">
          <color theme="1" tint="0.499984740745262"/>
        </top>
        <bottom style="thin">
          <color theme="1" tint="0.499984740745262"/>
        </bottom>
      </border>
    </dxf>
    <dxf>
      <fill>
        <patternFill patternType="solid">
          <fgColor theme="0" tint="-0.14999847407452621"/>
          <bgColor theme="0" tint="-0.14999847407452621"/>
        </patternFill>
      </fill>
    </dxf>
    <dxf>
      <fill>
        <patternFill patternType="solid">
          <fgColor theme="0" tint="-0.14999847407452621"/>
          <bgColor theme="0" tint="-0.14999847407452621"/>
        </patternFill>
      </fill>
      <border>
        <left style="thin">
          <color theme="0" tint="-0.249977111117893"/>
        </left>
        <right style="thin">
          <color theme="0" tint="-0.249977111117893"/>
        </right>
      </border>
    </dxf>
    <dxf>
      <fill>
        <patternFill patternType="solid">
          <fgColor theme="0" tint="-0.14999847407452621"/>
          <bgColor theme="0" tint="-0.14999847407452621"/>
        </patternFill>
      </fill>
    </dxf>
    <dxf>
      <font>
        <b/>
        <color theme="1"/>
      </font>
      <fill>
        <patternFill patternType="solid">
          <fgColor theme="0" tint="-0.14999847407452621"/>
          <bgColor theme="0" tint="-0.14999847407452621"/>
        </patternFill>
      </fill>
      <border>
        <top style="thin">
          <color theme="0" tint="-0.34998626667073579"/>
        </top>
      </border>
    </dxf>
    <dxf>
      <font>
        <b/>
        <color theme="1"/>
      </font>
      <fill>
        <patternFill patternType="solid">
          <fgColor theme="0" tint="-0.14999847407452621"/>
          <bgColor theme="0" tint="-0.14999847407452621"/>
        </patternFill>
      </fill>
      <border>
        <bottom style="thin">
          <color theme="0" tint="-0.34998626667073579"/>
        </bottom>
      </border>
    </dxf>
    <dxf>
      <numFmt numFmtId="3" formatCode="#,##0"/>
    </dxf>
    <dxf>
      <numFmt numFmtId="14" formatCode="0.00%"/>
    </dxf>
    <dxf>
      <font>
        <b/>
      </font>
    </dxf>
    <dxf>
      <font>
        <sz val="12"/>
      </font>
    </dxf>
    <dxf>
      <font>
        <sz val="11"/>
      </font>
    </dxf>
    <dxf>
      <font>
        <sz val="11"/>
      </font>
    </dxf>
    <dxf>
      <alignment horizontal="right"/>
    </dxf>
    <dxf>
      <alignment horizontal="right"/>
    </dxf>
    <dxf>
      <alignment horizontal="right"/>
    </dxf>
    <dxf>
      <numFmt numFmtId="14" formatCode="0.00%"/>
    </dxf>
    <dxf>
      <font>
        <sz val="10"/>
      </font>
    </dxf>
    <dxf>
      <numFmt numFmtId="167" formatCode="0.0%"/>
    </dxf>
    <dxf>
      <font>
        <b/>
        <i val="0"/>
        <color theme="5"/>
      </font>
      <border>
        <bottom style="thin">
          <color theme="4"/>
        </bottom>
        <vertical/>
        <horizontal/>
      </border>
    </dxf>
    <dxf>
      <font>
        <color auto="1"/>
      </font>
      <fill>
        <patternFill>
          <bgColor theme="1" tint="0.24994659260841701"/>
        </patternFill>
      </fill>
      <border diagonalUp="0" diagonalDown="0">
        <left/>
        <right/>
        <top/>
        <bottom/>
        <vertical/>
        <horizontal/>
      </border>
    </dxf>
    <dxf>
      <font>
        <b/>
        <strike val="0"/>
        <outline val="0"/>
        <shadow val="0"/>
        <u val="none"/>
        <vertAlign val="baseline"/>
        <sz val="11"/>
        <color theme="0"/>
        <name val="Calibri"/>
        <family val="2"/>
        <scheme val="minor"/>
      </font>
      <fill>
        <patternFill patternType="solid">
          <fgColor indexed="64"/>
          <bgColor theme="8" tint="0.39997558519241921"/>
        </patternFill>
      </fill>
    </dxf>
  </dxfs>
  <tableStyles count="3" defaultTableStyle="TableStyleMedium2" defaultPivotStyle="PivotStyleLight16">
    <tableStyle name="PivotStyleLight15 2" table="0" count="12" xr9:uid="{8BE6650B-3911-4996-919D-0650E0247E81}">
      <tableStyleElement type="wholeTable" dxfId="70"/>
      <tableStyleElement type="headerRow" dxfId="81"/>
      <tableStyleElement type="totalRow" dxfId="80"/>
      <tableStyleElement type="firstRowStripe" dxfId="79"/>
      <tableStyleElement type="firstColumnStripe" dxfId="78"/>
      <tableStyleElement type="firstSubtotalColumn" dxfId="77"/>
      <tableStyleElement type="firstSubtotalRow" dxfId="76"/>
      <tableStyleElement type="secondSubtotalRow" dxfId="75"/>
      <tableStyleElement type="firstRowSubheading" dxfId="74"/>
      <tableStyleElement type="secondRowSubheading" dxfId="73"/>
      <tableStyleElement type="pageFieldLabels" dxfId="72"/>
      <tableStyleElement type="pageFieldValues" dxfId="71"/>
    </tableStyle>
    <tableStyle name="PivotStyleLight15 3" table="0" count="12" xr9:uid="{444984C7-90AE-4026-BE43-F135A7DA0C7F}">
      <tableStyleElement type="wholeTable" dxfId="58"/>
      <tableStyleElement type="headerRow" dxfId="69"/>
      <tableStyleElement type="totalRow" dxfId="68"/>
      <tableStyleElement type="firstRowStripe" dxfId="67"/>
      <tableStyleElement type="firstColumnStripe" dxfId="66"/>
      <tableStyleElement type="firstSubtotalColumn" dxfId="65"/>
      <tableStyleElement type="firstSubtotalRow" dxfId="64"/>
      <tableStyleElement type="secondSubtotalRow" dxfId="63"/>
      <tableStyleElement type="firstRowSubheading" dxfId="62"/>
      <tableStyleElement type="secondRowSubheading" dxfId="61"/>
      <tableStyleElement type="pageFieldLabels" dxfId="60"/>
      <tableStyleElement type="pageFieldValues" dxfId="59"/>
    </tableStyle>
    <tableStyle name="Slicer Dashboard" pivot="0" table="0" count="10" xr9:uid="{42F59DD9-176E-4E15-96B4-40BA910F2B45}">
      <tableStyleElement type="wholeTable" dxfId="95"/>
      <tableStyleElement type="headerRow" dxfId="94"/>
    </tableStyle>
  </tableStyles>
  <colors>
    <mruColors>
      <color rgb="FFFCFCFC"/>
      <color rgb="FFFDFDFD"/>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diagonalUp="0" diagonalDown="0">
            <left/>
            <right/>
            <top/>
            <bottom/>
            <vertical/>
            <horizontal/>
          </border>
        </dxf>
        <dxf>
          <font>
            <color theme="0"/>
          </font>
          <fill>
            <patternFill patternType="solid">
              <fgColor theme="4" tint="0.59999389629810485"/>
              <bgColor theme="5"/>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0" tint="-0.14996795556505021"/>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 Dashboard">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microsoft.com/office/2006/relationships/vbaProject" Target="vbaProject.bin"/><Relationship Id="rId5" Type="http://schemas.microsoft.com/office/2007/relationships/slicerCache" Target="slicerCaches/slicerCache1.xml"/><Relationship Id="rId10" Type="http://schemas.openxmlformats.org/officeDocument/2006/relationships/calcChain" Target="calcChain.xml"/><Relationship Id="rId4" Type="http://schemas.openxmlformats.org/officeDocument/2006/relationships/pivotCacheDefinition" Target="pivotCache/pivotCacheDefinition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2.xml"/><Relationship Id="rId1" Type="http://schemas.microsoft.com/office/2011/relationships/chartStyle" Target="style2.xml"/><Relationship Id="rId4" Type="http://schemas.openxmlformats.org/officeDocument/2006/relationships/image" Target="../media/image3.png"/></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4.xml"/><Relationship Id="rId1" Type="http://schemas.microsoft.com/office/2011/relationships/chartStyle" Target="style4.xml"/><Relationship Id="rId4" Type="http://schemas.openxmlformats.org/officeDocument/2006/relationships/image" Target="../media/image3.png"/></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7385303774297584E-2"/>
          <c:y val="3.4188034188034191E-2"/>
          <c:w val="0.9726146962257024"/>
          <c:h val="0.84028827084927593"/>
        </c:manualLayout>
      </c:layout>
      <c:barChart>
        <c:barDir val="col"/>
        <c:grouping val="clustered"/>
        <c:varyColors val="0"/>
        <c:ser>
          <c:idx val="0"/>
          <c:order val="0"/>
          <c:tx>
            <c:strRef>
              <c:f>Calculation!$G$5</c:f>
              <c:strCache>
                <c:ptCount val="1"/>
                <c:pt idx="0">
                  <c:v>Revenue</c:v>
                </c:pt>
              </c:strCache>
            </c:strRef>
          </c:tx>
          <c:spPr>
            <a:solidFill>
              <a:schemeClr val="accent1"/>
            </a:solidFill>
            <a:ln>
              <a:noFill/>
            </a:ln>
            <a:effectLst/>
          </c:spPr>
          <c:invertIfNegative val="0"/>
          <c:dLbls>
            <c:dLbl>
              <c:idx val="3"/>
              <c:showLegendKey val="0"/>
              <c:showVal val="1"/>
              <c:showCatName val="0"/>
              <c:showSerName val="0"/>
              <c:showPercent val="0"/>
              <c:showBubbleSize val="0"/>
              <c:extLst>
                <c:ext xmlns:c15="http://schemas.microsoft.com/office/drawing/2012/chart" uri="{CE6537A1-D6FC-4f65-9D91-7224C49458BB}">
                  <c15:layout>
                    <c:manualLayout>
                      <c:w val="8.6851071660322909E-2"/>
                      <c:h val="7.8706436829068499E-2"/>
                    </c:manualLayout>
                  </c15:layout>
                </c:ext>
                <c:ext xmlns:c16="http://schemas.microsoft.com/office/drawing/2014/chart" uri="{C3380CC4-5D6E-409C-BE32-E72D297353CC}">
                  <c16:uniqueId val="{00000004-2669-4CB6-9E81-08C940AF97FD}"/>
                </c:ext>
              </c:extLst>
            </c:dLbl>
            <c:spPr>
              <a:solidFill>
                <a:schemeClr val="tx1">
                  <a:lumMod val="75000"/>
                  <a:lumOff val="25000"/>
                </a:schemeClr>
              </a:solid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Calculation!$F$6:$F$10</c:f>
              <c:strCache>
                <c:ptCount val="5"/>
                <c:pt idx="0">
                  <c:v>North America</c:v>
                </c:pt>
                <c:pt idx="1">
                  <c:v>South America</c:v>
                </c:pt>
                <c:pt idx="2">
                  <c:v>Asia</c:v>
                </c:pt>
                <c:pt idx="3">
                  <c:v>Europe</c:v>
                </c:pt>
                <c:pt idx="4">
                  <c:v>Australia</c:v>
                </c:pt>
              </c:strCache>
            </c:strRef>
          </c:cat>
          <c:val>
            <c:numRef>
              <c:f>Calculation!$G$6:$G$10</c:f>
              <c:numCache>
                <c:formatCode>#,##0</c:formatCode>
                <c:ptCount val="5"/>
                <c:pt idx="0">
                  <c:v>40000</c:v>
                </c:pt>
                <c:pt idx="1">
                  <c:v>20898</c:v>
                </c:pt>
                <c:pt idx="2">
                  <c:v>46994</c:v>
                </c:pt>
                <c:pt idx="3">
                  <c:v>43695</c:v>
                </c:pt>
                <c:pt idx="4">
                  <c:v>34196</c:v>
                </c:pt>
              </c:numCache>
            </c:numRef>
          </c:val>
          <c:extLst>
            <c:ext xmlns:c16="http://schemas.microsoft.com/office/drawing/2014/chart" uri="{C3380CC4-5D6E-409C-BE32-E72D297353CC}">
              <c16:uniqueId val="{00000000-2669-4CB6-9E81-08C940AF97FD}"/>
            </c:ext>
          </c:extLst>
        </c:ser>
        <c:ser>
          <c:idx val="1"/>
          <c:order val="1"/>
          <c:tx>
            <c:strRef>
              <c:f>Calculation!$H$5</c:f>
              <c:strCache>
                <c:ptCount val="1"/>
                <c:pt idx="0">
                  <c:v>Max</c:v>
                </c:pt>
              </c:strCache>
            </c:strRef>
          </c:tx>
          <c:spPr>
            <a:solidFill>
              <a:schemeClr val="accent2"/>
            </a:solidFill>
            <a:ln>
              <a:noFill/>
            </a:ln>
            <a:effectLst/>
          </c:spPr>
          <c:invertIfNegative val="0"/>
          <c:cat>
            <c:strRef>
              <c:f>Calculation!$F$6:$F$10</c:f>
              <c:strCache>
                <c:ptCount val="5"/>
                <c:pt idx="0">
                  <c:v>North America</c:v>
                </c:pt>
                <c:pt idx="1">
                  <c:v>South America</c:v>
                </c:pt>
                <c:pt idx="2">
                  <c:v>Asia</c:v>
                </c:pt>
                <c:pt idx="3">
                  <c:v>Europe</c:v>
                </c:pt>
                <c:pt idx="4">
                  <c:v>Australia</c:v>
                </c:pt>
              </c:strCache>
            </c:strRef>
          </c:cat>
          <c:val>
            <c:numRef>
              <c:f>Calculation!$H$6:$H$10</c:f>
              <c:numCache>
                <c:formatCode>#,##0</c:formatCode>
                <c:ptCount val="5"/>
                <c:pt idx="0">
                  <c:v>0</c:v>
                </c:pt>
                <c:pt idx="1">
                  <c:v>0</c:v>
                </c:pt>
                <c:pt idx="2">
                  <c:v>46994</c:v>
                </c:pt>
                <c:pt idx="3">
                  <c:v>0</c:v>
                </c:pt>
                <c:pt idx="4">
                  <c:v>0</c:v>
                </c:pt>
              </c:numCache>
            </c:numRef>
          </c:val>
          <c:extLst>
            <c:ext xmlns:c16="http://schemas.microsoft.com/office/drawing/2014/chart" uri="{C3380CC4-5D6E-409C-BE32-E72D297353CC}">
              <c16:uniqueId val="{00000001-2669-4CB6-9E81-08C940AF97FD}"/>
            </c:ext>
          </c:extLst>
        </c:ser>
        <c:dLbls>
          <c:showLegendKey val="0"/>
          <c:showVal val="0"/>
          <c:showCatName val="0"/>
          <c:showSerName val="0"/>
          <c:showPercent val="0"/>
          <c:showBubbleSize val="0"/>
        </c:dLbls>
        <c:gapWidth val="100"/>
        <c:overlap val="100"/>
        <c:axId val="994108863"/>
        <c:axId val="994104287"/>
      </c:barChart>
      <c:lineChart>
        <c:grouping val="standard"/>
        <c:varyColors val="0"/>
        <c:ser>
          <c:idx val="2"/>
          <c:order val="2"/>
          <c:tx>
            <c:strRef>
              <c:f>Calculation!$I$5</c:f>
              <c:strCache>
                <c:ptCount val="1"/>
                <c:pt idx="0">
                  <c:v>Average</c:v>
                </c:pt>
              </c:strCache>
            </c:strRef>
          </c:tx>
          <c:spPr>
            <a:ln w="9525" cap="rnd">
              <a:solidFill>
                <a:schemeClr val="accent3"/>
              </a:solidFill>
              <a:prstDash val="sysDash"/>
              <a:round/>
            </a:ln>
            <a:effectLst/>
          </c:spPr>
          <c:marker>
            <c:symbol val="none"/>
          </c:marker>
          <c:cat>
            <c:strRef>
              <c:f>Calculation!$F$6:$F$10</c:f>
              <c:strCache>
                <c:ptCount val="5"/>
                <c:pt idx="0">
                  <c:v>North America</c:v>
                </c:pt>
                <c:pt idx="1">
                  <c:v>South America</c:v>
                </c:pt>
                <c:pt idx="2">
                  <c:v>Asia</c:v>
                </c:pt>
                <c:pt idx="3">
                  <c:v>Europe</c:v>
                </c:pt>
                <c:pt idx="4">
                  <c:v>Australia</c:v>
                </c:pt>
              </c:strCache>
            </c:strRef>
          </c:cat>
          <c:val>
            <c:numRef>
              <c:f>Calculation!$I$6:$I$10</c:f>
              <c:numCache>
                <c:formatCode>#,##0</c:formatCode>
                <c:ptCount val="5"/>
                <c:pt idx="0">
                  <c:v>37156.6</c:v>
                </c:pt>
                <c:pt idx="1">
                  <c:v>37156.6</c:v>
                </c:pt>
                <c:pt idx="2">
                  <c:v>37156.6</c:v>
                </c:pt>
                <c:pt idx="3">
                  <c:v>37156.6</c:v>
                </c:pt>
                <c:pt idx="4">
                  <c:v>37156.6</c:v>
                </c:pt>
              </c:numCache>
            </c:numRef>
          </c:val>
          <c:smooth val="0"/>
          <c:extLst>
            <c:ext xmlns:c16="http://schemas.microsoft.com/office/drawing/2014/chart" uri="{C3380CC4-5D6E-409C-BE32-E72D297353CC}">
              <c16:uniqueId val="{00000002-2669-4CB6-9E81-08C940AF97FD}"/>
            </c:ext>
          </c:extLst>
        </c:ser>
        <c:dLbls>
          <c:showLegendKey val="0"/>
          <c:showVal val="0"/>
          <c:showCatName val="0"/>
          <c:showSerName val="0"/>
          <c:showPercent val="0"/>
          <c:showBubbleSize val="0"/>
        </c:dLbls>
        <c:marker val="1"/>
        <c:smooth val="0"/>
        <c:axId val="994108863"/>
        <c:axId val="994104287"/>
      </c:lineChart>
      <c:catAx>
        <c:axId val="994108863"/>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994104287"/>
        <c:crosses val="autoZero"/>
        <c:auto val="1"/>
        <c:lblAlgn val="ctr"/>
        <c:lblOffset val="100"/>
        <c:noMultiLvlLbl val="0"/>
      </c:catAx>
      <c:valAx>
        <c:axId val="994104287"/>
        <c:scaling>
          <c:orientation val="minMax"/>
        </c:scaling>
        <c:delete val="1"/>
        <c:axPos val="l"/>
        <c:numFmt formatCode="#,##0" sourceLinked="1"/>
        <c:majorTickMark val="none"/>
        <c:minorTickMark val="none"/>
        <c:tickLblPos val="nextTo"/>
        <c:crossAx val="994108863"/>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1198501872659173E-2"/>
          <c:y val="1.6931216931216932E-2"/>
          <c:w val="0.91760299625468167"/>
          <c:h val="0.88487505728450599"/>
        </c:manualLayout>
      </c:layout>
      <c:barChart>
        <c:barDir val="col"/>
        <c:grouping val="stacked"/>
        <c:varyColors val="0"/>
        <c:ser>
          <c:idx val="0"/>
          <c:order val="0"/>
          <c:tx>
            <c:strRef>
              <c:f>Calculation!$M$30</c:f>
              <c:strCache>
                <c:ptCount val="1"/>
                <c:pt idx="0">
                  <c:v>Stack  1</c:v>
                </c:pt>
              </c:strCache>
            </c:strRef>
          </c:tx>
          <c:spPr>
            <a:blipFill>
              <a:blip xmlns:r="http://schemas.openxmlformats.org/officeDocument/2006/relationships" r:embed="rId3"/>
              <a:stretch>
                <a:fillRect/>
              </a:stretch>
            </a:blipFill>
            <a:ln>
              <a:noFill/>
            </a:ln>
            <a:effectLst/>
          </c:spPr>
          <c:invertIfNegative val="0"/>
          <c:cat>
            <c:strRef>
              <c:f>Calculation!$K$31:$K$33</c:f>
              <c:strCache>
                <c:ptCount val="3"/>
                <c:pt idx="0">
                  <c:v>Utility</c:v>
                </c:pt>
                <c:pt idx="1">
                  <c:v>Productivity</c:v>
                </c:pt>
                <c:pt idx="2">
                  <c:v>game</c:v>
                </c:pt>
              </c:strCache>
            </c:strRef>
          </c:cat>
          <c:val>
            <c:numRef>
              <c:f>Calculation!$M$31:$M$33</c:f>
              <c:numCache>
                <c:formatCode>#,##0</c:formatCode>
                <c:ptCount val="3"/>
                <c:pt idx="0">
                  <c:v>14638.5</c:v>
                </c:pt>
                <c:pt idx="1">
                  <c:v>14638.5</c:v>
                </c:pt>
                <c:pt idx="2">
                  <c:v>14638.5</c:v>
                </c:pt>
              </c:numCache>
            </c:numRef>
          </c:val>
          <c:extLst>
            <c:ext xmlns:c16="http://schemas.microsoft.com/office/drawing/2014/chart" uri="{C3380CC4-5D6E-409C-BE32-E72D297353CC}">
              <c16:uniqueId val="{00000000-F83D-4D38-AEC7-96E990AFEE71}"/>
            </c:ext>
          </c:extLst>
        </c:ser>
        <c:ser>
          <c:idx val="1"/>
          <c:order val="1"/>
          <c:tx>
            <c:strRef>
              <c:f>Calculation!$N$30</c:f>
              <c:strCache>
                <c:ptCount val="1"/>
                <c:pt idx="0">
                  <c:v>Stack 2</c:v>
                </c:pt>
              </c:strCache>
            </c:strRef>
          </c:tx>
          <c:spPr>
            <a:solidFill>
              <a:schemeClr val="bg1">
                <a:lumMod val="75000"/>
              </a:schemeClr>
            </a:solidFill>
            <a:ln>
              <a:noFill/>
            </a:ln>
            <a:effectLst/>
          </c:spPr>
          <c:invertIfNegative val="0"/>
          <c:cat>
            <c:strRef>
              <c:f>Calculation!$K$31:$K$33</c:f>
              <c:strCache>
                <c:ptCount val="3"/>
                <c:pt idx="0">
                  <c:v>Utility</c:v>
                </c:pt>
                <c:pt idx="1">
                  <c:v>Productivity</c:v>
                </c:pt>
                <c:pt idx="2">
                  <c:v>game</c:v>
                </c:pt>
              </c:strCache>
            </c:strRef>
          </c:cat>
          <c:val>
            <c:numRef>
              <c:f>Calculation!$N$31:$N$33</c:f>
              <c:numCache>
                <c:formatCode>#,##0</c:formatCode>
                <c:ptCount val="3"/>
                <c:pt idx="0">
                  <c:v>4919</c:v>
                </c:pt>
                <c:pt idx="1">
                  <c:v>0</c:v>
                </c:pt>
                <c:pt idx="2">
                  <c:v>20379</c:v>
                </c:pt>
              </c:numCache>
            </c:numRef>
          </c:val>
          <c:extLst>
            <c:ext xmlns:c16="http://schemas.microsoft.com/office/drawing/2014/chart" uri="{C3380CC4-5D6E-409C-BE32-E72D297353CC}">
              <c16:uniqueId val="{00000001-F83D-4D38-AEC7-96E990AFEE71}"/>
            </c:ext>
          </c:extLst>
        </c:ser>
        <c:ser>
          <c:idx val="2"/>
          <c:order val="2"/>
          <c:tx>
            <c:strRef>
              <c:f>Calculation!$O$30</c:f>
              <c:strCache>
                <c:ptCount val="1"/>
                <c:pt idx="0">
                  <c:v>Stack3</c:v>
                </c:pt>
              </c:strCache>
            </c:strRef>
          </c:tx>
          <c:spPr>
            <a:blipFill>
              <a:blip xmlns:r="http://schemas.openxmlformats.org/officeDocument/2006/relationships" r:embed="rId4"/>
              <a:stretch>
                <a:fillRect/>
              </a:stretch>
            </a:blipFill>
            <a:ln>
              <a:noFill/>
            </a:ln>
            <a:effectLst/>
          </c:spPr>
          <c:invertIfNegative val="0"/>
          <c:dLbls>
            <c:dLbl>
              <c:idx val="0"/>
              <c:tx>
                <c:rich>
                  <a:bodyPr/>
                  <a:lstStyle/>
                  <a:p>
                    <a:fld id="{3C120CAB-08BF-43E0-B0EB-401AB9123CB7}" type="CELLRANGE">
                      <a:rPr lang="en-US"/>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F83D-4D38-AEC7-96E990AFEE71}"/>
                </c:ext>
              </c:extLst>
            </c:dLbl>
            <c:dLbl>
              <c:idx val="1"/>
              <c:tx>
                <c:rich>
                  <a:bodyPr/>
                  <a:lstStyle/>
                  <a:p>
                    <a:fld id="{2CBD292A-F623-4EF6-95DC-4ADE80C6D9E1}"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F83D-4D38-AEC7-96E990AFEE71}"/>
                </c:ext>
              </c:extLst>
            </c:dLbl>
            <c:dLbl>
              <c:idx val="2"/>
              <c:tx>
                <c:rich>
                  <a:bodyPr/>
                  <a:lstStyle/>
                  <a:p>
                    <a:fld id="{42CD70A8-3B9E-4847-B08A-6AD8E964F635}"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F83D-4D38-AEC7-96E990AFEE71}"/>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ysClr val="windowText" lastClr="000000"/>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Calculation!$K$31:$K$33</c:f>
              <c:strCache>
                <c:ptCount val="3"/>
                <c:pt idx="0">
                  <c:v>Utility</c:v>
                </c:pt>
                <c:pt idx="1">
                  <c:v>Productivity</c:v>
                </c:pt>
                <c:pt idx="2">
                  <c:v>game</c:v>
                </c:pt>
              </c:strCache>
            </c:strRef>
          </c:cat>
          <c:val>
            <c:numRef>
              <c:f>Calculation!$O$31:$O$33</c:f>
              <c:numCache>
                <c:formatCode>#,##0</c:formatCode>
                <c:ptCount val="3"/>
                <c:pt idx="0">
                  <c:v>14638.5</c:v>
                </c:pt>
                <c:pt idx="1">
                  <c:v>14638.5</c:v>
                </c:pt>
                <c:pt idx="2">
                  <c:v>14638.5</c:v>
                </c:pt>
              </c:numCache>
            </c:numRef>
          </c:val>
          <c:extLst>
            <c:ext xmlns:c15="http://schemas.microsoft.com/office/drawing/2012/chart" uri="{02D57815-91ED-43cb-92C2-25804820EDAC}">
              <c15:datalabelsRange>
                <c15:f>Calculation!$L$31:$L$33</c15:f>
                <c15:dlblRangeCache>
                  <c:ptCount val="3"/>
                  <c:pt idx="0">
                    <c:v>34,196</c:v>
                  </c:pt>
                  <c:pt idx="1">
                    <c:v>29,277</c:v>
                  </c:pt>
                  <c:pt idx="2">
                    <c:v>49,656</c:v>
                  </c:pt>
                </c15:dlblRangeCache>
              </c15:datalabelsRange>
            </c:ext>
            <c:ext xmlns:c16="http://schemas.microsoft.com/office/drawing/2014/chart" uri="{C3380CC4-5D6E-409C-BE32-E72D297353CC}">
              <c16:uniqueId val="{00000005-F83D-4D38-AEC7-96E990AFEE71}"/>
            </c:ext>
          </c:extLst>
        </c:ser>
        <c:dLbls>
          <c:showLegendKey val="0"/>
          <c:showVal val="0"/>
          <c:showCatName val="0"/>
          <c:showSerName val="0"/>
          <c:showPercent val="0"/>
          <c:showBubbleSize val="0"/>
        </c:dLbls>
        <c:gapWidth val="50"/>
        <c:overlap val="100"/>
        <c:axId val="1226035055"/>
        <c:axId val="1226031311"/>
      </c:barChart>
      <c:catAx>
        <c:axId val="1226035055"/>
        <c:scaling>
          <c:orientation val="minMax"/>
        </c:scaling>
        <c:delete val="0"/>
        <c:axPos val="b"/>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lgn="ctr">
              <a:defRPr lang="en-US" sz="900" b="1" i="0" u="none" strike="noStrike" kern="1200" baseline="0">
                <a:solidFill>
                  <a:schemeClr val="bg1"/>
                </a:solidFill>
                <a:latin typeface="+mn-lt"/>
                <a:ea typeface="+mn-ea"/>
                <a:cs typeface="+mn-cs"/>
              </a:defRPr>
            </a:pPr>
            <a:endParaRPr lang="en-US"/>
          </a:p>
        </c:txPr>
        <c:crossAx val="1226031311"/>
        <c:crosses val="autoZero"/>
        <c:auto val="1"/>
        <c:lblAlgn val="ctr"/>
        <c:lblOffset val="100"/>
        <c:noMultiLvlLbl val="0"/>
      </c:catAx>
      <c:valAx>
        <c:axId val="1226031311"/>
        <c:scaling>
          <c:orientation val="minMax"/>
        </c:scaling>
        <c:delete val="1"/>
        <c:axPos val="l"/>
        <c:numFmt formatCode="#,##0" sourceLinked="1"/>
        <c:majorTickMark val="out"/>
        <c:minorTickMark val="none"/>
        <c:tickLblPos val="nextTo"/>
        <c:crossAx val="12260350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75000"/>
        <a:lumOff val="25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Calculation!$G$5</c:f>
              <c:strCache>
                <c:ptCount val="1"/>
                <c:pt idx="0">
                  <c:v>Revenue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Calculation!$F$6:$F$10</c:f>
              <c:strCache>
                <c:ptCount val="5"/>
                <c:pt idx="0">
                  <c:v>North America</c:v>
                </c:pt>
                <c:pt idx="1">
                  <c:v>South America</c:v>
                </c:pt>
                <c:pt idx="2">
                  <c:v>Asia</c:v>
                </c:pt>
                <c:pt idx="3">
                  <c:v>Europe</c:v>
                </c:pt>
                <c:pt idx="4">
                  <c:v>Australia</c:v>
                </c:pt>
              </c:strCache>
            </c:strRef>
          </c:cat>
          <c:val>
            <c:numRef>
              <c:f>Calculation!$G$6:$G$10</c:f>
              <c:numCache>
                <c:formatCode>#,##0</c:formatCode>
                <c:ptCount val="5"/>
                <c:pt idx="0">
                  <c:v>40000</c:v>
                </c:pt>
                <c:pt idx="1">
                  <c:v>20898</c:v>
                </c:pt>
                <c:pt idx="2">
                  <c:v>46994</c:v>
                </c:pt>
                <c:pt idx="3">
                  <c:v>43695</c:v>
                </c:pt>
                <c:pt idx="4">
                  <c:v>34196</c:v>
                </c:pt>
              </c:numCache>
            </c:numRef>
          </c:val>
          <c:extLst>
            <c:ext xmlns:c16="http://schemas.microsoft.com/office/drawing/2014/chart" uri="{C3380CC4-5D6E-409C-BE32-E72D297353CC}">
              <c16:uniqueId val="{00000000-1AEA-4C11-89BA-C7584A4E5B4F}"/>
            </c:ext>
          </c:extLst>
        </c:ser>
        <c:ser>
          <c:idx val="1"/>
          <c:order val="1"/>
          <c:tx>
            <c:strRef>
              <c:f>Calculation!$H$5</c:f>
              <c:strCache>
                <c:ptCount val="1"/>
                <c:pt idx="0">
                  <c:v>Max</c:v>
                </c:pt>
              </c:strCache>
            </c:strRef>
          </c:tx>
          <c:spPr>
            <a:solidFill>
              <a:schemeClr val="accent2"/>
            </a:solidFill>
            <a:ln>
              <a:noFill/>
            </a:ln>
            <a:effectLst/>
          </c:spPr>
          <c:invertIfNegative val="0"/>
          <c:cat>
            <c:strRef>
              <c:f>Calculation!$F$6:$F$10</c:f>
              <c:strCache>
                <c:ptCount val="5"/>
                <c:pt idx="0">
                  <c:v>North America</c:v>
                </c:pt>
                <c:pt idx="1">
                  <c:v>South America</c:v>
                </c:pt>
                <c:pt idx="2">
                  <c:v>Asia</c:v>
                </c:pt>
                <c:pt idx="3">
                  <c:v>Europe</c:v>
                </c:pt>
                <c:pt idx="4">
                  <c:v>Australia</c:v>
                </c:pt>
              </c:strCache>
            </c:strRef>
          </c:cat>
          <c:val>
            <c:numRef>
              <c:f>Calculation!$H$6:$H$10</c:f>
              <c:numCache>
                <c:formatCode>#,##0</c:formatCode>
                <c:ptCount val="5"/>
                <c:pt idx="0">
                  <c:v>0</c:v>
                </c:pt>
                <c:pt idx="1">
                  <c:v>0</c:v>
                </c:pt>
                <c:pt idx="2">
                  <c:v>46994</c:v>
                </c:pt>
                <c:pt idx="3">
                  <c:v>0</c:v>
                </c:pt>
                <c:pt idx="4">
                  <c:v>0</c:v>
                </c:pt>
              </c:numCache>
            </c:numRef>
          </c:val>
          <c:extLst>
            <c:ext xmlns:c16="http://schemas.microsoft.com/office/drawing/2014/chart" uri="{C3380CC4-5D6E-409C-BE32-E72D297353CC}">
              <c16:uniqueId val="{00000001-1AEA-4C11-89BA-C7584A4E5B4F}"/>
            </c:ext>
          </c:extLst>
        </c:ser>
        <c:dLbls>
          <c:showLegendKey val="0"/>
          <c:showVal val="0"/>
          <c:showCatName val="0"/>
          <c:showSerName val="0"/>
          <c:showPercent val="0"/>
          <c:showBubbleSize val="0"/>
        </c:dLbls>
        <c:gapWidth val="100"/>
        <c:overlap val="100"/>
        <c:axId val="994108863"/>
        <c:axId val="994104287"/>
      </c:barChart>
      <c:lineChart>
        <c:grouping val="standard"/>
        <c:varyColors val="0"/>
        <c:ser>
          <c:idx val="2"/>
          <c:order val="2"/>
          <c:tx>
            <c:strRef>
              <c:f>Calculation!$I$5</c:f>
              <c:strCache>
                <c:ptCount val="1"/>
                <c:pt idx="0">
                  <c:v>Average</c:v>
                </c:pt>
              </c:strCache>
            </c:strRef>
          </c:tx>
          <c:spPr>
            <a:ln w="9525" cap="rnd">
              <a:solidFill>
                <a:schemeClr val="accent3"/>
              </a:solidFill>
              <a:prstDash val="sysDash"/>
              <a:round/>
            </a:ln>
            <a:effectLst/>
          </c:spPr>
          <c:marker>
            <c:symbol val="none"/>
          </c:marker>
          <c:cat>
            <c:strRef>
              <c:f>Calculation!$F$6:$F$10</c:f>
              <c:strCache>
                <c:ptCount val="5"/>
                <c:pt idx="0">
                  <c:v>North America</c:v>
                </c:pt>
                <c:pt idx="1">
                  <c:v>South America</c:v>
                </c:pt>
                <c:pt idx="2">
                  <c:v>Asia</c:v>
                </c:pt>
                <c:pt idx="3">
                  <c:v>Europe</c:v>
                </c:pt>
                <c:pt idx="4">
                  <c:v>Australia</c:v>
                </c:pt>
              </c:strCache>
            </c:strRef>
          </c:cat>
          <c:val>
            <c:numRef>
              <c:f>Calculation!$I$6:$I$10</c:f>
              <c:numCache>
                <c:formatCode>#,##0</c:formatCode>
                <c:ptCount val="5"/>
                <c:pt idx="0">
                  <c:v>37156.6</c:v>
                </c:pt>
                <c:pt idx="1">
                  <c:v>37156.6</c:v>
                </c:pt>
                <c:pt idx="2">
                  <c:v>37156.6</c:v>
                </c:pt>
                <c:pt idx="3">
                  <c:v>37156.6</c:v>
                </c:pt>
                <c:pt idx="4">
                  <c:v>37156.6</c:v>
                </c:pt>
              </c:numCache>
            </c:numRef>
          </c:val>
          <c:smooth val="0"/>
          <c:extLst>
            <c:ext xmlns:c16="http://schemas.microsoft.com/office/drawing/2014/chart" uri="{C3380CC4-5D6E-409C-BE32-E72D297353CC}">
              <c16:uniqueId val="{00000002-1AEA-4C11-89BA-C7584A4E5B4F}"/>
            </c:ext>
          </c:extLst>
        </c:ser>
        <c:dLbls>
          <c:showLegendKey val="0"/>
          <c:showVal val="0"/>
          <c:showCatName val="0"/>
          <c:showSerName val="0"/>
          <c:showPercent val="0"/>
          <c:showBubbleSize val="0"/>
        </c:dLbls>
        <c:marker val="1"/>
        <c:smooth val="0"/>
        <c:axId val="994108863"/>
        <c:axId val="994104287"/>
      </c:lineChart>
      <c:catAx>
        <c:axId val="9941088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4104287"/>
        <c:crosses val="autoZero"/>
        <c:auto val="1"/>
        <c:lblAlgn val="ctr"/>
        <c:lblOffset val="100"/>
        <c:noMultiLvlLbl val="0"/>
      </c:catAx>
      <c:valAx>
        <c:axId val="994104287"/>
        <c:scaling>
          <c:orientation val="minMax"/>
        </c:scaling>
        <c:delete val="1"/>
        <c:axPos val="l"/>
        <c:numFmt formatCode="#,##0" sourceLinked="1"/>
        <c:majorTickMark val="none"/>
        <c:minorTickMark val="none"/>
        <c:tickLblPos val="nextTo"/>
        <c:crossAx val="99410886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8426150121065374E-2"/>
          <c:y val="6.0185185185185182E-2"/>
          <c:w val="0.92897497982243749"/>
          <c:h val="0.8416746864975212"/>
        </c:manualLayout>
      </c:layout>
      <c:barChart>
        <c:barDir val="col"/>
        <c:grouping val="stacked"/>
        <c:varyColors val="0"/>
        <c:ser>
          <c:idx val="0"/>
          <c:order val="0"/>
          <c:tx>
            <c:strRef>
              <c:f>Calculation!$M$30</c:f>
              <c:strCache>
                <c:ptCount val="1"/>
                <c:pt idx="0">
                  <c:v>Stack  1</c:v>
                </c:pt>
              </c:strCache>
            </c:strRef>
          </c:tx>
          <c:spPr>
            <a:blipFill>
              <a:blip xmlns:r="http://schemas.openxmlformats.org/officeDocument/2006/relationships" r:embed="rId3"/>
              <a:stretch>
                <a:fillRect/>
              </a:stretch>
            </a:blipFill>
            <a:ln>
              <a:noFill/>
            </a:ln>
            <a:effectLst/>
          </c:spPr>
          <c:invertIfNegative val="0"/>
          <c:cat>
            <c:strRef>
              <c:f>Calculation!$K$31:$K$33</c:f>
              <c:strCache>
                <c:ptCount val="3"/>
                <c:pt idx="0">
                  <c:v>Utility</c:v>
                </c:pt>
                <c:pt idx="1">
                  <c:v>Productivity</c:v>
                </c:pt>
                <c:pt idx="2">
                  <c:v>game</c:v>
                </c:pt>
              </c:strCache>
            </c:strRef>
          </c:cat>
          <c:val>
            <c:numRef>
              <c:f>Calculation!$M$31:$M$33</c:f>
              <c:numCache>
                <c:formatCode>#,##0</c:formatCode>
                <c:ptCount val="3"/>
                <c:pt idx="0">
                  <c:v>14638.5</c:v>
                </c:pt>
                <c:pt idx="1">
                  <c:v>14638.5</c:v>
                </c:pt>
                <c:pt idx="2">
                  <c:v>14638.5</c:v>
                </c:pt>
              </c:numCache>
            </c:numRef>
          </c:val>
          <c:extLst>
            <c:ext xmlns:c16="http://schemas.microsoft.com/office/drawing/2014/chart" uri="{C3380CC4-5D6E-409C-BE32-E72D297353CC}">
              <c16:uniqueId val="{00000000-640E-4443-9F18-C65814A42755}"/>
            </c:ext>
          </c:extLst>
        </c:ser>
        <c:ser>
          <c:idx val="1"/>
          <c:order val="1"/>
          <c:tx>
            <c:strRef>
              <c:f>Calculation!$N$30</c:f>
              <c:strCache>
                <c:ptCount val="1"/>
                <c:pt idx="0">
                  <c:v>Stack 2</c:v>
                </c:pt>
              </c:strCache>
            </c:strRef>
          </c:tx>
          <c:spPr>
            <a:solidFill>
              <a:schemeClr val="bg1">
                <a:lumMod val="75000"/>
              </a:schemeClr>
            </a:solidFill>
            <a:ln>
              <a:noFill/>
            </a:ln>
            <a:effectLst/>
          </c:spPr>
          <c:invertIfNegative val="0"/>
          <c:cat>
            <c:strRef>
              <c:f>Calculation!$K$31:$K$33</c:f>
              <c:strCache>
                <c:ptCount val="3"/>
                <c:pt idx="0">
                  <c:v>Utility</c:v>
                </c:pt>
                <c:pt idx="1">
                  <c:v>Productivity</c:v>
                </c:pt>
                <c:pt idx="2">
                  <c:v>game</c:v>
                </c:pt>
              </c:strCache>
            </c:strRef>
          </c:cat>
          <c:val>
            <c:numRef>
              <c:f>Calculation!$N$31:$N$33</c:f>
              <c:numCache>
                <c:formatCode>#,##0</c:formatCode>
                <c:ptCount val="3"/>
                <c:pt idx="0">
                  <c:v>4919</c:v>
                </c:pt>
                <c:pt idx="1">
                  <c:v>0</c:v>
                </c:pt>
                <c:pt idx="2">
                  <c:v>20379</c:v>
                </c:pt>
              </c:numCache>
            </c:numRef>
          </c:val>
          <c:extLst>
            <c:ext xmlns:c16="http://schemas.microsoft.com/office/drawing/2014/chart" uri="{C3380CC4-5D6E-409C-BE32-E72D297353CC}">
              <c16:uniqueId val="{00000001-640E-4443-9F18-C65814A42755}"/>
            </c:ext>
          </c:extLst>
        </c:ser>
        <c:ser>
          <c:idx val="2"/>
          <c:order val="2"/>
          <c:tx>
            <c:strRef>
              <c:f>Calculation!$O$30</c:f>
              <c:strCache>
                <c:ptCount val="1"/>
                <c:pt idx="0">
                  <c:v>Stack3</c:v>
                </c:pt>
              </c:strCache>
            </c:strRef>
          </c:tx>
          <c:spPr>
            <a:blipFill>
              <a:blip xmlns:r="http://schemas.openxmlformats.org/officeDocument/2006/relationships" r:embed="rId4"/>
              <a:stretch>
                <a:fillRect/>
              </a:stretch>
            </a:blipFill>
            <a:ln>
              <a:noFill/>
            </a:ln>
            <a:effectLst/>
          </c:spPr>
          <c:invertIfNegative val="0"/>
          <c:dLbls>
            <c:dLbl>
              <c:idx val="0"/>
              <c:tx>
                <c:rich>
                  <a:bodyPr/>
                  <a:lstStyle/>
                  <a:p>
                    <a:fld id="{D874CB68-11B0-4A70-9C24-454B4150896E}" type="CELLRANGE">
                      <a:rPr lang="en-US"/>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40E-4443-9F18-C65814A42755}"/>
                </c:ext>
              </c:extLst>
            </c:dLbl>
            <c:dLbl>
              <c:idx val="1"/>
              <c:tx>
                <c:rich>
                  <a:bodyPr/>
                  <a:lstStyle/>
                  <a:p>
                    <a:fld id="{2626C69B-5D43-4A60-8042-BB38A37AF761}" type="CELLRANGE">
                      <a:rPr lang="en-US"/>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40E-4443-9F18-C65814A42755}"/>
                </c:ext>
              </c:extLst>
            </c:dLbl>
            <c:dLbl>
              <c:idx val="2"/>
              <c:tx>
                <c:rich>
                  <a:bodyPr/>
                  <a:lstStyle/>
                  <a:p>
                    <a:fld id="{30763AB6-D9FB-4FC5-BCAC-9FB9FAB45605}" type="CELLRANGE">
                      <a:rPr lang="en-US"/>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40E-4443-9F18-C65814A42755}"/>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ysClr val="windowText" lastClr="000000"/>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Calculation!$K$31:$K$33</c:f>
              <c:strCache>
                <c:ptCount val="3"/>
                <c:pt idx="0">
                  <c:v>Utility</c:v>
                </c:pt>
                <c:pt idx="1">
                  <c:v>Productivity</c:v>
                </c:pt>
                <c:pt idx="2">
                  <c:v>game</c:v>
                </c:pt>
              </c:strCache>
            </c:strRef>
          </c:cat>
          <c:val>
            <c:numRef>
              <c:f>Calculation!$O$31:$O$33</c:f>
              <c:numCache>
                <c:formatCode>#,##0</c:formatCode>
                <c:ptCount val="3"/>
                <c:pt idx="0">
                  <c:v>14638.5</c:v>
                </c:pt>
                <c:pt idx="1">
                  <c:v>14638.5</c:v>
                </c:pt>
                <c:pt idx="2">
                  <c:v>14638.5</c:v>
                </c:pt>
              </c:numCache>
            </c:numRef>
          </c:val>
          <c:extLst>
            <c:ext xmlns:c15="http://schemas.microsoft.com/office/drawing/2012/chart" uri="{02D57815-91ED-43cb-92C2-25804820EDAC}">
              <c15:datalabelsRange>
                <c15:f>Calculation!$L$31:$L$33</c15:f>
                <c15:dlblRangeCache>
                  <c:ptCount val="3"/>
                  <c:pt idx="0">
                    <c:v>34,196</c:v>
                  </c:pt>
                  <c:pt idx="1">
                    <c:v>29,277</c:v>
                  </c:pt>
                  <c:pt idx="2">
                    <c:v>49,656</c:v>
                  </c:pt>
                </c15:dlblRangeCache>
              </c15:datalabelsRange>
            </c:ext>
            <c:ext xmlns:c16="http://schemas.microsoft.com/office/drawing/2014/chart" uri="{C3380CC4-5D6E-409C-BE32-E72D297353CC}">
              <c16:uniqueId val="{00000002-640E-4443-9F18-C65814A42755}"/>
            </c:ext>
          </c:extLst>
        </c:ser>
        <c:dLbls>
          <c:showLegendKey val="0"/>
          <c:showVal val="0"/>
          <c:showCatName val="0"/>
          <c:showSerName val="0"/>
          <c:showPercent val="0"/>
          <c:showBubbleSize val="0"/>
        </c:dLbls>
        <c:gapWidth val="50"/>
        <c:overlap val="100"/>
        <c:axId val="1226035055"/>
        <c:axId val="1226031311"/>
      </c:barChart>
      <c:catAx>
        <c:axId val="1226035055"/>
        <c:scaling>
          <c:orientation val="minMax"/>
        </c:scaling>
        <c:delete val="0"/>
        <c:axPos val="b"/>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226031311"/>
        <c:crosses val="autoZero"/>
        <c:auto val="1"/>
        <c:lblAlgn val="ctr"/>
        <c:lblOffset val="100"/>
        <c:noMultiLvlLbl val="0"/>
      </c:catAx>
      <c:valAx>
        <c:axId val="1226031311"/>
        <c:scaling>
          <c:orientation val="minMax"/>
        </c:scaling>
        <c:delete val="1"/>
        <c:axPos val="l"/>
        <c:numFmt formatCode="#,##0" sourceLinked="1"/>
        <c:majorTickMark val="out"/>
        <c:minorTickMark val="none"/>
        <c:tickLblPos val="nextTo"/>
        <c:crossAx val="12260350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png"/><Relationship Id="rId5" Type="http://schemas.openxmlformats.org/officeDocument/2006/relationships/image" Target="../media/image5.emf"/><Relationship Id="rId4" Type="http://schemas.openxmlformats.org/officeDocument/2006/relationships/image" Target="../media/image4.emf"/></Relationships>
</file>

<file path=xl/drawings/_rels/drawing2.xml.rels><?xml version="1.0" encoding="UTF-8" standalone="yes"?>
<Relationships xmlns="http://schemas.openxmlformats.org/package/2006/relationships"><Relationship Id="rId3" Type="http://schemas.openxmlformats.org/officeDocument/2006/relationships/image" Target="../media/image4.emf"/><Relationship Id="rId7" Type="http://schemas.openxmlformats.org/officeDocument/2006/relationships/image" Target="../media/image11.emf"/><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image" Target="../media/image10.png"/><Relationship Id="rId5" Type="http://schemas.openxmlformats.org/officeDocument/2006/relationships/image" Target="../media/image9.png"/><Relationship Id="rId4" Type="http://schemas.openxmlformats.org/officeDocument/2006/relationships/image" Target="../media/image8.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6.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12.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15</xdr:col>
      <xdr:colOff>142875</xdr:colOff>
      <xdr:row>0</xdr:row>
      <xdr:rowOff>0</xdr:rowOff>
    </xdr:from>
    <xdr:to>
      <xdr:col>18</xdr:col>
      <xdr:colOff>659966</xdr:colOff>
      <xdr:row>4</xdr:row>
      <xdr:rowOff>38100</xdr:rowOff>
    </xdr:to>
    <xdr:pic>
      <xdr:nvPicPr>
        <xdr:cNvPr id="2" name="Picture 1">
          <a:extLst>
            <a:ext uri="{FF2B5EF4-FFF2-40B4-BE49-F238E27FC236}">
              <a16:creationId xmlns:a16="http://schemas.microsoft.com/office/drawing/2014/main" id="{B8764B87-FE93-4E56-A090-D82D8F3440A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639300" y="0"/>
          <a:ext cx="1126691" cy="800100"/>
        </a:xfrm>
        <a:prstGeom prst="rect">
          <a:avLst/>
        </a:prstGeom>
      </xdr:spPr>
    </xdr:pic>
    <xdr:clientData/>
  </xdr:twoCellAnchor>
  <xdr:oneCellAnchor>
    <xdr:from>
      <xdr:col>0</xdr:col>
      <xdr:colOff>323850</xdr:colOff>
      <xdr:row>0</xdr:row>
      <xdr:rowOff>0</xdr:rowOff>
    </xdr:from>
    <xdr:ext cx="1922386" cy="906338"/>
    <xdr:sp macro="" textlink="">
      <xdr:nvSpPr>
        <xdr:cNvPr id="3" name="TextBox 2">
          <a:extLst>
            <a:ext uri="{FF2B5EF4-FFF2-40B4-BE49-F238E27FC236}">
              <a16:creationId xmlns:a16="http://schemas.microsoft.com/office/drawing/2014/main" id="{2BE5439A-B6C4-4721-85AF-414FB2CD5471}"/>
            </a:ext>
          </a:extLst>
        </xdr:cNvPr>
        <xdr:cNvSpPr txBox="1"/>
      </xdr:nvSpPr>
      <xdr:spPr>
        <a:xfrm>
          <a:off x="323850" y="0"/>
          <a:ext cx="1922386" cy="9063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3600">
              <a:solidFill>
                <a:schemeClr val="bg1"/>
              </a:solidFill>
            </a:rPr>
            <a:t>Revenue </a:t>
          </a:r>
        </a:p>
        <a:p>
          <a:r>
            <a:rPr lang="en-IN" sz="1600">
              <a:solidFill>
                <a:schemeClr val="bg1"/>
              </a:solidFill>
            </a:rPr>
            <a:t>by</a:t>
          </a:r>
          <a:r>
            <a:rPr lang="en-IN" sz="1600" baseline="0">
              <a:solidFill>
                <a:schemeClr val="bg1"/>
              </a:solidFill>
            </a:rPr>
            <a:t> Division</a:t>
          </a:r>
          <a:endParaRPr lang="en-IN" sz="1600">
            <a:solidFill>
              <a:schemeClr val="bg1"/>
            </a:solidFill>
          </a:endParaRPr>
        </a:p>
      </xdr:txBody>
    </xdr:sp>
    <xdr:clientData/>
  </xdr:oneCellAnchor>
  <xdr:oneCellAnchor>
    <xdr:from>
      <xdr:col>10</xdr:col>
      <xdr:colOff>76200</xdr:colOff>
      <xdr:row>0</xdr:row>
      <xdr:rowOff>38100</xdr:rowOff>
    </xdr:from>
    <xdr:ext cx="2979598" cy="655885"/>
    <xdr:sp macro="" textlink="">
      <xdr:nvSpPr>
        <xdr:cNvPr id="6" name="TextBox 5">
          <a:extLst>
            <a:ext uri="{FF2B5EF4-FFF2-40B4-BE49-F238E27FC236}">
              <a16:creationId xmlns:a16="http://schemas.microsoft.com/office/drawing/2014/main" id="{D8A3E526-0A28-4303-AE42-CCC31014EC1C}"/>
            </a:ext>
          </a:extLst>
        </xdr:cNvPr>
        <xdr:cNvSpPr txBox="1"/>
      </xdr:nvSpPr>
      <xdr:spPr>
        <a:xfrm>
          <a:off x="6172200" y="38100"/>
          <a:ext cx="2979598" cy="6558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3600">
              <a:solidFill>
                <a:schemeClr val="bg1"/>
              </a:solidFill>
            </a:rPr>
            <a:t>Revenue </a:t>
          </a:r>
          <a:r>
            <a:rPr lang="en-IN" sz="1100" baseline="0">
              <a:solidFill>
                <a:schemeClr val="bg1"/>
              </a:solidFill>
            </a:rPr>
            <a:t> </a:t>
          </a:r>
          <a:r>
            <a:rPr lang="en-IN" sz="2000" baseline="0">
              <a:solidFill>
                <a:schemeClr val="bg1"/>
              </a:solidFill>
            </a:rPr>
            <a:t>by Region</a:t>
          </a:r>
          <a:endParaRPr lang="en-IN" sz="2000">
            <a:solidFill>
              <a:schemeClr val="bg1"/>
            </a:solidFill>
          </a:endParaRPr>
        </a:p>
      </xdr:txBody>
    </xdr:sp>
    <xdr:clientData/>
  </xdr:oneCellAnchor>
  <xdr:twoCellAnchor editAs="oneCell">
    <xdr:from>
      <xdr:col>3</xdr:col>
      <xdr:colOff>504825</xdr:colOff>
      <xdr:row>0</xdr:row>
      <xdr:rowOff>114300</xdr:rowOff>
    </xdr:from>
    <xdr:to>
      <xdr:col>6</xdr:col>
      <xdr:colOff>504825</xdr:colOff>
      <xdr:row>5</xdr:row>
      <xdr:rowOff>142875</xdr:rowOff>
    </xdr:to>
    <mc:AlternateContent xmlns:mc="http://schemas.openxmlformats.org/markup-compatibility/2006">
      <mc:Choice xmlns:a14="http://schemas.microsoft.com/office/drawing/2010/main" Requires="a14">
        <xdr:graphicFrame macro="">
          <xdr:nvGraphicFramePr>
            <xdr:cNvPr id="7" name="Division 1">
              <a:extLst>
                <a:ext uri="{FF2B5EF4-FFF2-40B4-BE49-F238E27FC236}">
                  <a16:creationId xmlns:a16="http://schemas.microsoft.com/office/drawing/2014/main" id="{CBD65962-0B82-4034-8F51-9769E15E029D}"/>
                </a:ext>
              </a:extLst>
            </xdr:cNvPr>
            <xdr:cNvGraphicFramePr/>
          </xdr:nvGraphicFramePr>
          <xdr:xfrm>
            <a:off x="0" y="0"/>
            <a:ext cx="0" cy="0"/>
          </xdr:xfrm>
          <a:graphic>
            <a:graphicData uri="http://schemas.microsoft.com/office/drawing/2010/slicer">
              <sle:slicer xmlns:sle="http://schemas.microsoft.com/office/drawing/2010/slicer" name="Division 1"/>
            </a:graphicData>
          </a:graphic>
        </xdr:graphicFrame>
      </mc:Choice>
      <mc:Fallback>
        <xdr:sp macro="" textlink="">
          <xdr:nvSpPr>
            <xdr:cNvPr id="0" name=""/>
            <xdr:cNvSpPr>
              <a:spLocks noTextEdit="1"/>
            </xdr:cNvSpPr>
          </xdr:nvSpPr>
          <xdr:spPr>
            <a:xfrm>
              <a:off x="2333625" y="114300"/>
              <a:ext cx="1828800" cy="9810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0</xdr:col>
      <xdr:colOff>114300</xdr:colOff>
      <xdr:row>8</xdr:row>
      <xdr:rowOff>38100</xdr:rowOff>
    </xdr:from>
    <xdr:to>
      <xdr:col>8</xdr:col>
      <xdr:colOff>400050</xdr:colOff>
      <xdr:row>21</xdr:row>
      <xdr:rowOff>161925</xdr:rowOff>
    </xdr:to>
    <xdr:graphicFrame macro="">
      <xdr:nvGraphicFramePr>
        <xdr:cNvPr id="8" name="Chart 7">
          <a:extLst>
            <a:ext uri="{FF2B5EF4-FFF2-40B4-BE49-F238E27FC236}">
              <a16:creationId xmlns:a16="http://schemas.microsoft.com/office/drawing/2014/main" id="{63DADC20-19F7-453A-9A1B-A13BD62CF0F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314325</xdr:colOff>
      <xdr:row>22</xdr:row>
      <xdr:rowOff>171451</xdr:rowOff>
    </xdr:from>
    <xdr:to>
      <xdr:col>6</xdr:col>
      <xdr:colOff>523875</xdr:colOff>
      <xdr:row>28</xdr:row>
      <xdr:rowOff>63207</xdr:rowOff>
    </xdr:to>
    <xdr:grpSp>
      <xdr:nvGrpSpPr>
        <xdr:cNvPr id="13" name="Group 12">
          <a:extLst>
            <a:ext uri="{FF2B5EF4-FFF2-40B4-BE49-F238E27FC236}">
              <a16:creationId xmlns:a16="http://schemas.microsoft.com/office/drawing/2014/main" id="{E5271856-FAEC-4A9D-B85B-68523CA943CB}"/>
            </a:ext>
          </a:extLst>
        </xdr:cNvPr>
        <xdr:cNvGrpSpPr/>
      </xdr:nvGrpSpPr>
      <xdr:grpSpPr>
        <a:xfrm>
          <a:off x="314325" y="4410076"/>
          <a:ext cx="3867150" cy="1034756"/>
          <a:chOff x="371475" y="4210051"/>
          <a:chExt cx="3867150" cy="1035670"/>
        </a:xfrm>
      </xdr:grpSpPr>
      <xdr:sp macro="" textlink="Calculation!$L$5">
        <xdr:nvSpPr>
          <xdr:cNvPr id="9" name="TextBox 8">
            <a:extLst>
              <a:ext uri="{FF2B5EF4-FFF2-40B4-BE49-F238E27FC236}">
                <a16:creationId xmlns:a16="http://schemas.microsoft.com/office/drawing/2014/main" id="{ED530AD8-269F-4739-9432-46EC6A363F03}"/>
              </a:ext>
            </a:extLst>
          </xdr:cNvPr>
          <xdr:cNvSpPr txBox="1"/>
        </xdr:nvSpPr>
        <xdr:spPr>
          <a:xfrm>
            <a:off x="371475" y="4210051"/>
            <a:ext cx="1415062" cy="314324"/>
          </a:xfrm>
          <a:prstGeom prst="rect">
            <a:avLst/>
          </a:prstGeom>
          <a:solidFill>
            <a:schemeClr val="tx1">
              <a:lumMod val="75000"/>
              <a:lumOff val="2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DDDEB899-5491-4739-A4B2-C9C13B613943}" type="TxLink">
              <a:rPr lang="en-US" sz="2000" b="1" i="0" u="none" strike="noStrike">
                <a:solidFill>
                  <a:schemeClr val="accent2"/>
                </a:solidFill>
                <a:latin typeface="Calibri"/>
                <a:cs typeface="Calibri"/>
              </a:rPr>
              <a:pPr algn="l"/>
              <a:t>$1,85,783</a:t>
            </a:fld>
            <a:endParaRPr lang="en-IN" sz="2800" b="1">
              <a:solidFill>
                <a:schemeClr val="accent2"/>
              </a:solidFill>
            </a:endParaRPr>
          </a:p>
        </xdr:txBody>
      </xdr:sp>
      <xdr:sp macro="" textlink="Calculation!$M$5">
        <xdr:nvSpPr>
          <xdr:cNvPr id="10" name="TextBox 9">
            <a:extLst>
              <a:ext uri="{FF2B5EF4-FFF2-40B4-BE49-F238E27FC236}">
                <a16:creationId xmlns:a16="http://schemas.microsoft.com/office/drawing/2014/main" id="{81AE007A-91C5-439E-8CE7-8C01A72C4F98}"/>
              </a:ext>
            </a:extLst>
          </xdr:cNvPr>
          <xdr:cNvSpPr txBox="1"/>
        </xdr:nvSpPr>
        <xdr:spPr>
          <a:xfrm>
            <a:off x="1733550" y="4238626"/>
            <a:ext cx="2438400" cy="5291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B2553A8C-A2FC-4A57-9684-28F4DCA0089B}" type="TxLink">
              <a:rPr lang="en-US" sz="1600" b="1" i="0" u="none" strike="noStrike">
                <a:solidFill>
                  <a:schemeClr val="bg1"/>
                </a:solidFill>
                <a:latin typeface="Calibri"/>
                <a:cs typeface="Calibri"/>
              </a:rPr>
              <a:t>Utility Apps sold</a:t>
            </a:fld>
            <a:endParaRPr lang="en-IN" sz="1600" b="1">
              <a:solidFill>
                <a:schemeClr val="bg1"/>
              </a:solidFill>
            </a:endParaRPr>
          </a:p>
        </xdr:txBody>
      </xdr:sp>
      <xdr:sp macro="" textlink="Calculation!L6">
        <xdr:nvSpPr>
          <xdr:cNvPr id="11" name="TextBox 10">
            <a:extLst>
              <a:ext uri="{FF2B5EF4-FFF2-40B4-BE49-F238E27FC236}">
                <a16:creationId xmlns:a16="http://schemas.microsoft.com/office/drawing/2014/main" id="{6B772BBB-F96E-4369-BD88-0B32A92F383A}"/>
              </a:ext>
            </a:extLst>
          </xdr:cNvPr>
          <xdr:cNvSpPr txBox="1"/>
        </xdr:nvSpPr>
        <xdr:spPr>
          <a:xfrm>
            <a:off x="371475" y="4619625"/>
            <a:ext cx="3343275" cy="31177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fld id="{4DBEC7D0-409C-4AC3-85CD-42FD486B5EFA}" type="TxLink">
              <a:rPr lang="en-US" sz="1400" b="0" i="0" u="none" strike="noStrike">
                <a:solidFill>
                  <a:schemeClr val="bg1"/>
                </a:solidFill>
                <a:latin typeface="Calibri"/>
                <a:cs typeface="Calibri"/>
              </a:rPr>
              <a:pPr algn="l"/>
              <a:t>Asia bought the most Utility apps</a:t>
            </a:fld>
            <a:endParaRPr lang="en-IN" sz="1400" b="0">
              <a:solidFill>
                <a:schemeClr val="bg1"/>
              </a:solidFill>
            </a:endParaRPr>
          </a:p>
        </xdr:txBody>
      </xdr:sp>
      <xdr:sp macro="" textlink="Calculation!L7">
        <xdr:nvSpPr>
          <xdr:cNvPr id="12" name="TextBox 11">
            <a:extLst>
              <a:ext uri="{FF2B5EF4-FFF2-40B4-BE49-F238E27FC236}">
                <a16:creationId xmlns:a16="http://schemas.microsoft.com/office/drawing/2014/main" id="{A6FB5DAE-F959-4FF3-9E62-66AB47B608A9}"/>
              </a:ext>
            </a:extLst>
          </xdr:cNvPr>
          <xdr:cNvSpPr txBox="1"/>
        </xdr:nvSpPr>
        <xdr:spPr>
          <a:xfrm>
            <a:off x="371475" y="4933950"/>
            <a:ext cx="3867150" cy="31177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fld id="{A11CBC24-4674-4EFE-83B3-5DBADB127E77}" type="TxLink">
              <a:rPr lang="en-US" sz="1400" b="0" i="0" u="none" strike="noStrike">
                <a:solidFill>
                  <a:schemeClr val="accent2">
                    <a:lumMod val="40000"/>
                    <a:lumOff val="60000"/>
                  </a:schemeClr>
                </a:solidFill>
                <a:latin typeface="Calibri"/>
                <a:cs typeface="Calibri"/>
              </a:rPr>
              <a:pPr algn="l"/>
              <a:t>South America bought the least Utility apps</a:t>
            </a:fld>
            <a:endParaRPr lang="en-IN" sz="1400">
              <a:solidFill>
                <a:schemeClr val="accent2">
                  <a:lumMod val="40000"/>
                  <a:lumOff val="60000"/>
                </a:schemeClr>
              </a:solidFill>
            </a:endParaRPr>
          </a:p>
        </xdr:txBody>
      </xdr:sp>
    </xdr:grpSp>
    <xdr:clientData/>
  </xdr:twoCellAnchor>
  <xdr:twoCellAnchor editAs="oneCell">
    <xdr:from>
      <xdr:col>10</xdr:col>
      <xdr:colOff>180975</xdr:colOff>
      <xdr:row>7</xdr:row>
      <xdr:rowOff>104775</xdr:rowOff>
    </xdr:from>
    <xdr:to>
      <xdr:col>11</xdr:col>
      <xdr:colOff>847725</xdr:colOff>
      <xdr:row>15</xdr:row>
      <xdr:rowOff>161924</xdr:rowOff>
    </xdr:to>
    <mc:AlternateContent xmlns:mc="http://schemas.openxmlformats.org/markup-compatibility/2006">
      <mc:Choice xmlns:a14="http://schemas.microsoft.com/office/drawing/2010/main" Requires="a14">
        <xdr:graphicFrame macro="">
          <xdr:nvGraphicFramePr>
            <xdr:cNvPr id="14" name="Region">
              <a:extLst>
                <a:ext uri="{FF2B5EF4-FFF2-40B4-BE49-F238E27FC236}">
                  <a16:creationId xmlns:a16="http://schemas.microsoft.com/office/drawing/2014/main" id="{EED4A2E6-4AEA-4D8C-80EB-65AB611206C8}"/>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6276975" y="1485900"/>
              <a:ext cx="1276350" cy="158114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12</xdr:col>
      <xdr:colOff>1</xdr:colOff>
      <xdr:row>4</xdr:row>
      <xdr:rowOff>123825</xdr:rowOff>
    </xdr:from>
    <xdr:to>
      <xdr:col>18</xdr:col>
      <xdr:colOff>952501</xdr:colOff>
      <xdr:row>20</xdr:row>
      <xdr:rowOff>28575</xdr:rowOff>
    </xdr:to>
    <xdr:graphicFrame macro="">
      <xdr:nvGraphicFramePr>
        <xdr:cNvPr id="18" name="Chart 17">
          <a:extLst>
            <a:ext uri="{FF2B5EF4-FFF2-40B4-BE49-F238E27FC236}">
              <a16:creationId xmlns:a16="http://schemas.microsoft.com/office/drawing/2014/main" id="{9464761B-C583-4640-9077-A781D87BAD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333376</xdr:colOff>
      <xdr:row>21</xdr:row>
      <xdr:rowOff>0</xdr:rowOff>
    </xdr:from>
    <xdr:to>
      <xdr:col>18</xdr:col>
      <xdr:colOff>742951</xdr:colOff>
      <xdr:row>28</xdr:row>
      <xdr:rowOff>0</xdr:rowOff>
    </xdr:to>
    <xdr:grpSp>
      <xdr:nvGrpSpPr>
        <xdr:cNvPr id="28" name="Group 27">
          <a:extLst>
            <a:ext uri="{FF2B5EF4-FFF2-40B4-BE49-F238E27FC236}">
              <a16:creationId xmlns:a16="http://schemas.microsoft.com/office/drawing/2014/main" id="{F41231D6-F052-49BE-8857-90682E5D85DC}"/>
            </a:ext>
          </a:extLst>
        </xdr:cNvPr>
        <xdr:cNvGrpSpPr/>
      </xdr:nvGrpSpPr>
      <xdr:grpSpPr>
        <a:xfrm>
          <a:off x="6429376" y="4048125"/>
          <a:ext cx="4419600" cy="1333500"/>
          <a:chOff x="6762751" y="4010025"/>
          <a:chExt cx="4419600" cy="1333500"/>
        </a:xfrm>
      </xdr:grpSpPr>
      <xdr:sp macro="" textlink="">
        <xdr:nvSpPr>
          <xdr:cNvPr id="20" name="Flowchart: Terminator 19">
            <a:extLst>
              <a:ext uri="{FF2B5EF4-FFF2-40B4-BE49-F238E27FC236}">
                <a16:creationId xmlns:a16="http://schemas.microsoft.com/office/drawing/2014/main" id="{383D77C2-3BF9-4AC3-8C49-7CDC2B1B16F4}"/>
              </a:ext>
            </a:extLst>
          </xdr:cNvPr>
          <xdr:cNvSpPr/>
        </xdr:nvSpPr>
        <xdr:spPr>
          <a:xfrm>
            <a:off x="6762751" y="4038600"/>
            <a:ext cx="4419600" cy="1304925"/>
          </a:xfrm>
          <a:prstGeom prst="flowChartTerminator">
            <a:avLst/>
          </a:prstGeom>
          <a:solidFill>
            <a:srgbClr val="FCFCF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mc:AlternateContent xmlns:mc="http://schemas.openxmlformats.org/markup-compatibility/2006">
        <mc:Choice xmlns:a14="http://schemas.microsoft.com/office/drawing/2010/main" Requires="a14">
          <xdr:pic>
            <xdr:nvPicPr>
              <xdr:cNvPr id="19" name="Picture 18">
                <a:extLst>
                  <a:ext uri="{FF2B5EF4-FFF2-40B4-BE49-F238E27FC236}">
                    <a16:creationId xmlns:a16="http://schemas.microsoft.com/office/drawing/2014/main" id="{DFB02DE4-0776-4E08-B35F-59D5CF32C183}"/>
                  </a:ext>
                </a:extLst>
              </xdr:cNvPr>
              <xdr:cNvPicPr>
                <a:picLocks noChangeAspect="1" noChangeArrowheads="1"/>
                <a:extLst>
                  <a:ext uri="{84589F7E-364E-4C9E-8A38-B11213B215E9}">
                    <a14:cameraTool cellRange="Calculation!$A$30:$E$35" spid="_x0000_s3086"/>
                  </a:ext>
                </a:extLst>
              </xdr:cNvPicPr>
            </xdr:nvPicPr>
            <xdr:blipFill rotWithShape="1">
              <a:blip xmlns:r="http://schemas.openxmlformats.org/officeDocument/2006/relationships" r:embed="rId4"/>
              <a:srcRect l="762" t="37008"/>
              <a:stretch>
                <a:fillRect/>
              </a:stretch>
            </xdr:blipFill>
            <xdr:spPr bwMode="auto">
              <a:xfrm>
                <a:off x="7248525" y="4476750"/>
                <a:ext cx="3495674" cy="762000"/>
              </a:xfrm>
              <a:prstGeom prst="rect">
                <a:avLst/>
              </a:prstGeom>
              <a:solidFill>
                <a:srgbClr val="FFFFFF" mc:Ignorable="a14" a14:legacySpreadsheetColorIndex="9"/>
              </a:solidFill>
              <a:ln w="9525">
                <a:noFill/>
                <a:miter lim="800000"/>
                <a:headEnd/>
                <a:tailEnd/>
              </a:ln>
            </xdr:spPr>
          </xdr:pic>
        </mc:Choice>
        <mc:Fallback/>
      </mc:AlternateContent>
      <xdr:grpSp>
        <xdr:nvGrpSpPr>
          <xdr:cNvPr id="25" name="Group 24">
            <a:extLst>
              <a:ext uri="{FF2B5EF4-FFF2-40B4-BE49-F238E27FC236}">
                <a16:creationId xmlns:a16="http://schemas.microsoft.com/office/drawing/2014/main" id="{A0FFC8F3-1757-4113-978E-F12F2E84E3F8}"/>
              </a:ext>
            </a:extLst>
          </xdr:cNvPr>
          <xdr:cNvGrpSpPr/>
        </xdr:nvGrpSpPr>
        <xdr:grpSpPr>
          <a:xfrm>
            <a:off x="8239125" y="4248149"/>
            <a:ext cx="2618103" cy="209551"/>
            <a:chOff x="8239125" y="4210050"/>
            <a:chExt cx="2618103" cy="280205"/>
          </a:xfrm>
        </xdr:grpSpPr>
        <xdr:sp macro="" textlink="">
          <xdr:nvSpPr>
            <xdr:cNvPr id="21" name="TextBox 20">
              <a:extLst>
                <a:ext uri="{FF2B5EF4-FFF2-40B4-BE49-F238E27FC236}">
                  <a16:creationId xmlns:a16="http://schemas.microsoft.com/office/drawing/2014/main" id="{78FBB88B-DCCC-4BC5-BA57-167DBCDDB836}"/>
                </a:ext>
              </a:extLst>
            </xdr:cNvPr>
            <xdr:cNvSpPr txBox="1"/>
          </xdr:nvSpPr>
          <xdr:spPr>
            <a:xfrm>
              <a:off x="8239125" y="4210050"/>
              <a:ext cx="741678"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b">
              <a:spAutoFit/>
            </a:bodyPr>
            <a:lstStyle/>
            <a:p>
              <a:r>
                <a:rPr lang="en-IN" sz="1200" b="1" u="sng">
                  <a:solidFill>
                    <a:sysClr val="windowText" lastClr="000000"/>
                  </a:solidFill>
                </a:rPr>
                <a:t>Revenue</a:t>
              </a:r>
              <a:endParaRPr lang="en-IN" sz="1100" b="1" u="sng">
                <a:solidFill>
                  <a:sysClr val="windowText" lastClr="000000"/>
                </a:solidFill>
              </a:endParaRPr>
            </a:p>
          </xdr:txBody>
        </xdr:sp>
        <xdr:sp macro="" textlink="">
          <xdr:nvSpPr>
            <xdr:cNvPr id="23" name="TextBox 22">
              <a:extLst>
                <a:ext uri="{FF2B5EF4-FFF2-40B4-BE49-F238E27FC236}">
                  <a16:creationId xmlns:a16="http://schemas.microsoft.com/office/drawing/2014/main" id="{A830C9F2-15D3-4E3E-94F9-7B6103126FA1}"/>
                </a:ext>
              </a:extLst>
            </xdr:cNvPr>
            <xdr:cNvSpPr txBox="1"/>
          </xdr:nvSpPr>
          <xdr:spPr>
            <a:xfrm>
              <a:off x="9267825" y="4210050"/>
              <a:ext cx="547586"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b">
              <a:spAutoFit/>
            </a:bodyPr>
            <a:lstStyle/>
            <a:p>
              <a:r>
                <a:rPr lang="en-IN" sz="1200" b="1" u="sng"/>
                <a:t>%∆PY</a:t>
              </a:r>
            </a:p>
          </xdr:txBody>
        </xdr:sp>
        <xdr:sp macro="" textlink="">
          <xdr:nvSpPr>
            <xdr:cNvPr id="24" name="TextBox 23">
              <a:extLst>
                <a:ext uri="{FF2B5EF4-FFF2-40B4-BE49-F238E27FC236}">
                  <a16:creationId xmlns:a16="http://schemas.microsoft.com/office/drawing/2014/main" id="{F5D7BD87-712C-46B5-B399-5952390F46D8}"/>
                </a:ext>
              </a:extLst>
            </xdr:cNvPr>
            <xdr:cNvSpPr txBox="1"/>
          </xdr:nvSpPr>
          <xdr:spPr>
            <a:xfrm>
              <a:off x="10115550" y="4210050"/>
              <a:ext cx="741678"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b">
              <a:spAutoFit/>
            </a:bodyPr>
            <a:lstStyle/>
            <a:p>
              <a:r>
                <a:rPr lang="en-IN" sz="1200" b="1" u="sng"/>
                <a:t>Revenue</a:t>
              </a:r>
            </a:p>
          </xdr:txBody>
        </xdr:sp>
      </xdr:grpSp>
      <xdr:sp macro="" textlink="">
        <xdr:nvSpPr>
          <xdr:cNvPr id="26" name="TextBox 25">
            <a:extLst>
              <a:ext uri="{FF2B5EF4-FFF2-40B4-BE49-F238E27FC236}">
                <a16:creationId xmlns:a16="http://schemas.microsoft.com/office/drawing/2014/main" id="{E1266B4B-C4BE-4473-AF8D-CCA290C2B9E7}"/>
              </a:ext>
            </a:extLst>
          </xdr:cNvPr>
          <xdr:cNvSpPr txBox="1"/>
        </xdr:nvSpPr>
        <xdr:spPr>
          <a:xfrm>
            <a:off x="8763000" y="4010025"/>
            <a:ext cx="659989"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400" b="0">
                <a:solidFill>
                  <a:schemeClr val="accent2"/>
                </a:solidFill>
              </a:rPr>
              <a:t>Actual</a:t>
            </a:r>
          </a:p>
        </xdr:txBody>
      </xdr:sp>
      <xdr:sp macro="" textlink="">
        <xdr:nvSpPr>
          <xdr:cNvPr id="27" name="TextBox 26">
            <a:extLst>
              <a:ext uri="{FF2B5EF4-FFF2-40B4-BE49-F238E27FC236}">
                <a16:creationId xmlns:a16="http://schemas.microsoft.com/office/drawing/2014/main" id="{69F4FFC0-7EE4-4FD6-9FE4-F2AF4FE26241}"/>
              </a:ext>
            </a:extLst>
          </xdr:cNvPr>
          <xdr:cNvSpPr txBox="1"/>
        </xdr:nvSpPr>
        <xdr:spPr>
          <a:xfrm>
            <a:off x="10287000" y="4010025"/>
            <a:ext cx="364843"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400"/>
              <a:t>PY</a:t>
            </a:r>
          </a:p>
        </xdr:txBody>
      </xdr:sp>
    </xdr:grpSp>
    <xdr:clientData/>
  </xdr:twoCellAnchor>
  <mc:AlternateContent xmlns:mc="http://schemas.openxmlformats.org/markup-compatibility/2006">
    <mc:Choice xmlns:a14="http://schemas.microsoft.com/office/drawing/2010/main" Requires="a14">
      <xdr:twoCellAnchor editAs="oneCell">
        <xdr:from>
          <xdr:col>7</xdr:col>
          <xdr:colOff>9525</xdr:colOff>
          <xdr:row>0</xdr:row>
          <xdr:rowOff>180975</xdr:rowOff>
        </xdr:from>
        <xdr:to>
          <xdr:col>8</xdr:col>
          <xdr:colOff>200025</xdr:colOff>
          <xdr:row>5</xdr:row>
          <xdr:rowOff>38100</xdr:rowOff>
        </xdr:to>
        <xdr:pic>
          <xdr:nvPicPr>
            <xdr:cNvPr id="29" name="Picture 28">
              <a:extLst>
                <a:ext uri="{FF2B5EF4-FFF2-40B4-BE49-F238E27FC236}">
                  <a16:creationId xmlns:a16="http://schemas.microsoft.com/office/drawing/2014/main" id="{F4C56C46-BDBC-4608-8D84-A96ADAA988B0}"/>
                </a:ext>
              </a:extLst>
            </xdr:cNvPr>
            <xdr:cNvPicPr>
              <a:picLocks noChangeAspect="1" noChangeArrowheads="1"/>
              <a:extLst>
                <a:ext uri="{84589F7E-364E-4C9E-8A38-B11213B215E9}">
                  <a14:cameraTool cellRange="logo" spid="_x0000_s3087"/>
                </a:ext>
              </a:extLst>
            </xdr:cNvPicPr>
          </xdr:nvPicPr>
          <xdr:blipFill rotWithShape="1">
            <a:blip xmlns:r="http://schemas.openxmlformats.org/officeDocument/2006/relationships" r:embed="rId5"/>
            <a:srcRect l="2222" t="6316" r="4445" b="4210"/>
            <a:stretch>
              <a:fillRect/>
            </a:stretch>
          </xdr:blipFill>
          <xdr:spPr bwMode="auto">
            <a:xfrm>
              <a:off x="4276725" y="180975"/>
              <a:ext cx="800100" cy="809625"/>
            </a:xfrm>
            <a:prstGeom prst="rect">
              <a:avLst/>
            </a:prstGeom>
            <a:solidFill>
              <a:srgbClr val="FFFFFF" mc:Ignorable="a14" a14:legacySpreadsheetColorIndex="9"/>
            </a:solidFill>
            <a:ln w="9525">
              <a:no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104775</xdr:colOff>
      <xdr:row>2</xdr:row>
      <xdr:rowOff>142875</xdr:rowOff>
    </xdr:from>
    <xdr:to>
      <xdr:col>3</xdr:col>
      <xdr:colOff>114300</xdr:colOff>
      <xdr:row>8</xdr:row>
      <xdr:rowOff>114300</xdr:rowOff>
    </xdr:to>
    <mc:AlternateContent xmlns:mc="http://schemas.openxmlformats.org/markup-compatibility/2006">
      <mc:Choice xmlns:a14="http://schemas.microsoft.com/office/drawing/2010/main" Requires="a14">
        <xdr:graphicFrame macro="">
          <xdr:nvGraphicFramePr>
            <xdr:cNvPr id="5" name="Division">
              <a:extLst>
                <a:ext uri="{FF2B5EF4-FFF2-40B4-BE49-F238E27FC236}">
                  <a16:creationId xmlns:a16="http://schemas.microsoft.com/office/drawing/2014/main" id="{837FF0F5-A438-4AB9-B548-CC17707E3519}"/>
                </a:ext>
              </a:extLst>
            </xdr:cNvPr>
            <xdr:cNvGraphicFramePr/>
          </xdr:nvGraphicFramePr>
          <xdr:xfrm>
            <a:off x="0" y="0"/>
            <a:ext cx="0" cy="0"/>
          </xdr:xfrm>
          <a:graphic>
            <a:graphicData uri="http://schemas.microsoft.com/office/drawing/2010/slicer">
              <sle:slicer xmlns:sle="http://schemas.microsoft.com/office/drawing/2010/slicer" name="Division"/>
            </a:graphicData>
          </a:graphic>
        </xdr:graphicFrame>
      </mc:Choice>
      <mc:Fallback>
        <xdr:sp macro="" textlink="">
          <xdr:nvSpPr>
            <xdr:cNvPr id="0" name=""/>
            <xdr:cNvSpPr>
              <a:spLocks noTextEdit="1"/>
            </xdr:cNvSpPr>
          </xdr:nvSpPr>
          <xdr:spPr>
            <a:xfrm>
              <a:off x="1838325" y="523875"/>
              <a:ext cx="942975" cy="11144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0</xdr:colOff>
      <xdr:row>10</xdr:row>
      <xdr:rowOff>95250</xdr:rowOff>
    </xdr:from>
    <xdr:to>
      <xdr:col>9</xdr:col>
      <xdr:colOff>38101</xdr:colOff>
      <xdr:row>18</xdr:row>
      <xdr:rowOff>176211</xdr:rowOff>
    </xdr:to>
    <xdr:graphicFrame macro="">
      <xdr:nvGraphicFramePr>
        <xdr:cNvPr id="7" name="Chart 6">
          <a:extLst>
            <a:ext uri="{FF2B5EF4-FFF2-40B4-BE49-F238E27FC236}">
              <a16:creationId xmlns:a16="http://schemas.microsoft.com/office/drawing/2014/main" id="{5A8F83C8-92A1-4BA4-BEBA-A49C8353875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19</xdr:row>
      <xdr:rowOff>161925</xdr:rowOff>
    </xdr:from>
    <xdr:to>
      <xdr:col>6</xdr:col>
      <xdr:colOff>142875</xdr:colOff>
      <xdr:row>21</xdr:row>
      <xdr:rowOff>133350</xdr:rowOff>
    </xdr:to>
    <xdr:sp macro="" textlink="$L$5">
      <xdr:nvSpPr>
        <xdr:cNvPr id="8" name="TextBox 7">
          <a:extLst>
            <a:ext uri="{FF2B5EF4-FFF2-40B4-BE49-F238E27FC236}">
              <a16:creationId xmlns:a16="http://schemas.microsoft.com/office/drawing/2014/main" id="{4996DE58-2C94-42C3-8AB1-C443DDCA20F5}"/>
            </a:ext>
          </a:extLst>
        </xdr:cNvPr>
        <xdr:cNvSpPr txBox="1"/>
      </xdr:nvSpPr>
      <xdr:spPr>
        <a:xfrm>
          <a:off x="3752850" y="3781425"/>
          <a:ext cx="1076325" cy="352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3E7570B-E352-43C9-A21F-3774361859C1}" type="TxLink">
            <a:rPr lang="en-US" sz="1400" b="0" i="0" u="none" strike="noStrike">
              <a:solidFill>
                <a:schemeClr val="accent2"/>
              </a:solidFill>
              <a:latin typeface="Calibri"/>
              <a:cs typeface="Calibri"/>
            </a:rPr>
            <a:t>$1,85,783</a:t>
          </a:fld>
          <a:endParaRPr lang="en-IN" sz="1400">
            <a:solidFill>
              <a:schemeClr val="accent2"/>
            </a:solidFill>
          </a:endParaRPr>
        </a:p>
      </xdr:txBody>
    </xdr:sp>
    <xdr:clientData/>
  </xdr:twoCellAnchor>
  <xdr:twoCellAnchor>
    <xdr:from>
      <xdr:col>10</xdr:col>
      <xdr:colOff>114300</xdr:colOff>
      <xdr:row>33</xdr:row>
      <xdr:rowOff>195262</xdr:rowOff>
    </xdr:from>
    <xdr:to>
      <xdr:col>15</xdr:col>
      <xdr:colOff>95250</xdr:colOff>
      <xdr:row>47</xdr:row>
      <xdr:rowOff>152400</xdr:rowOff>
    </xdr:to>
    <xdr:graphicFrame macro="">
      <xdr:nvGraphicFramePr>
        <xdr:cNvPr id="17" name="Chart 16">
          <a:extLst>
            <a:ext uri="{FF2B5EF4-FFF2-40B4-BE49-F238E27FC236}">
              <a16:creationId xmlns:a16="http://schemas.microsoft.com/office/drawing/2014/main" id="{287CB94C-4D59-4760-87ED-515656AE196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576265</xdr:colOff>
      <xdr:row>26</xdr:row>
      <xdr:rowOff>176213</xdr:rowOff>
    </xdr:from>
    <xdr:to>
      <xdr:col>17</xdr:col>
      <xdr:colOff>238129</xdr:colOff>
      <xdr:row>30</xdr:row>
      <xdr:rowOff>90488</xdr:rowOff>
    </xdr:to>
    <xdr:sp macro="" textlink="">
      <xdr:nvSpPr>
        <xdr:cNvPr id="18" name="Flowchart: Delay 17">
          <a:extLst>
            <a:ext uri="{FF2B5EF4-FFF2-40B4-BE49-F238E27FC236}">
              <a16:creationId xmlns:a16="http://schemas.microsoft.com/office/drawing/2014/main" id="{AA04B7C9-D1DD-4EAA-B354-DAC53A35B7CE}"/>
            </a:ext>
          </a:extLst>
        </xdr:cNvPr>
        <xdr:cNvSpPr/>
      </xdr:nvSpPr>
      <xdr:spPr>
        <a:xfrm rot="16200000">
          <a:off x="11651459" y="5045869"/>
          <a:ext cx="695325" cy="881064"/>
        </a:xfrm>
        <a:prstGeom prst="flowChartDelay">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590553</xdr:colOff>
      <xdr:row>31</xdr:row>
      <xdr:rowOff>47628</xdr:rowOff>
    </xdr:from>
    <xdr:to>
      <xdr:col>17</xdr:col>
      <xdr:colOff>238127</xdr:colOff>
      <xdr:row>34</xdr:row>
      <xdr:rowOff>142878</xdr:rowOff>
    </xdr:to>
    <xdr:sp macro="" textlink="">
      <xdr:nvSpPr>
        <xdr:cNvPr id="19" name="Flowchart: Delay 18">
          <a:extLst>
            <a:ext uri="{FF2B5EF4-FFF2-40B4-BE49-F238E27FC236}">
              <a16:creationId xmlns:a16="http://schemas.microsoft.com/office/drawing/2014/main" id="{BD2BFFBD-0982-4BD7-A9BF-DD4012C77EEC}"/>
            </a:ext>
          </a:extLst>
        </xdr:cNvPr>
        <xdr:cNvSpPr/>
      </xdr:nvSpPr>
      <xdr:spPr>
        <a:xfrm rot="5400000">
          <a:off x="11658602" y="5905504"/>
          <a:ext cx="695325" cy="866774"/>
        </a:xfrm>
        <a:prstGeom prst="flowChartDelay">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4</xdr:col>
          <xdr:colOff>419100</xdr:colOff>
          <xdr:row>35</xdr:row>
          <xdr:rowOff>180975</xdr:rowOff>
        </xdr:from>
        <xdr:to>
          <xdr:col>9</xdr:col>
          <xdr:colOff>466725</xdr:colOff>
          <xdr:row>42</xdr:row>
          <xdr:rowOff>57150</xdr:rowOff>
        </xdr:to>
        <xdr:pic>
          <xdr:nvPicPr>
            <xdr:cNvPr id="23" name="Picture 22">
              <a:extLst>
                <a:ext uri="{FF2B5EF4-FFF2-40B4-BE49-F238E27FC236}">
                  <a16:creationId xmlns:a16="http://schemas.microsoft.com/office/drawing/2014/main" id="{FE8781A5-4350-4A50-81DA-07669E27E876}"/>
                </a:ext>
              </a:extLst>
            </xdr:cNvPr>
            <xdr:cNvPicPr>
              <a:picLocks noChangeAspect="1" noChangeArrowheads="1"/>
              <a:extLst>
                <a:ext uri="{84589F7E-364E-4C9E-8A38-B11213B215E9}">
                  <a14:cameraTool cellRange="$A$30:$E$35" spid="_x0000_s1046"/>
                </a:ext>
              </a:extLst>
            </xdr:cNvPicPr>
          </xdr:nvPicPr>
          <xdr:blipFill>
            <a:blip xmlns:r="http://schemas.openxmlformats.org/officeDocument/2006/relationships" r:embed="rId3"/>
            <a:srcRect/>
            <a:stretch>
              <a:fillRect/>
            </a:stretch>
          </xdr:blipFill>
          <xdr:spPr bwMode="auto">
            <a:xfrm>
              <a:off x="3286125" y="6924675"/>
              <a:ext cx="3752850" cy="1209675"/>
            </a:xfrm>
            <a:prstGeom prst="rect">
              <a:avLst/>
            </a:prstGeom>
            <a:solidFill>
              <a:srgbClr val="FFFFFF" mc:Ignorable="a14" a14:legacySpreadsheetColorIndex="9"/>
            </a:solidFill>
            <a:ln w="9525">
              <a:noFill/>
              <a:miter lim="800000"/>
              <a:headEnd/>
              <a:tailEnd/>
            </a:ln>
          </xdr:spPr>
        </xdr:pic>
        <xdr:clientData/>
      </xdr:twoCellAnchor>
    </mc:Choice>
    <mc:Fallback/>
  </mc:AlternateContent>
  <xdr:twoCellAnchor editAs="absolute">
    <xdr:from>
      <xdr:col>1</xdr:col>
      <xdr:colOff>47625</xdr:colOff>
      <xdr:row>53</xdr:row>
      <xdr:rowOff>47625</xdr:rowOff>
    </xdr:from>
    <xdr:to>
      <xdr:col>1</xdr:col>
      <xdr:colOff>806577</xdr:colOff>
      <xdr:row>53</xdr:row>
      <xdr:rowOff>854202</xdr:rowOff>
    </xdr:to>
    <xdr:pic>
      <xdr:nvPicPr>
        <xdr:cNvPr id="24" name="Picture 23">
          <a:extLst>
            <a:ext uri="{FF2B5EF4-FFF2-40B4-BE49-F238E27FC236}">
              <a16:creationId xmlns:a16="http://schemas.microsoft.com/office/drawing/2014/main" id="{3018451F-047B-4560-BD1C-DD24A8FC127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923925" y="11696700"/>
          <a:ext cx="758952" cy="806577"/>
        </a:xfrm>
        <a:prstGeom prst="rect">
          <a:avLst/>
        </a:prstGeom>
      </xdr:spPr>
    </xdr:pic>
    <xdr:clientData/>
  </xdr:twoCellAnchor>
  <xdr:twoCellAnchor editAs="absolute">
    <xdr:from>
      <xdr:col>1</xdr:col>
      <xdr:colOff>49987</xdr:colOff>
      <xdr:row>52</xdr:row>
      <xdr:rowOff>78563</xdr:rowOff>
    </xdr:from>
    <xdr:to>
      <xdr:col>1</xdr:col>
      <xdr:colOff>808939</xdr:colOff>
      <xdr:row>52</xdr:row>
      <xdr:rowOff>885140</xdr:rowOff>
    </xdr:to>
    <xdr:pic>
      <xdr:nvPicPr>
        <xdr:cNvPr id="25" name="Picture 24">
          <a:extLst>
            <a:ext uri="{FF2B5EF4-FFF2-40B4-BE49-F238E27FC236}">
              <a16:creationId xmlns:a16="http://schemas.microsoft.com/office/drawing/2014/main" id="{9C0AE8B5-7742-4A15-A110-882436115046}"/>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926287" y="10822763"/>
          <a:ext cx="758952" cy="806577"/>
        </a:xfrm>
        <a:prstGeom prst="rect">
          <a:avLst/>
        </a:prstGeom>
      </xdr:spPr>
    </xdr:pic>
    <xdr:clientData/>
  </xdr:twoCellAnchor>
  <xdr:twoCellAnchor editAs="absolute">
    <xdr:from>
      <xdr:col>1</xdr:col>
      <xdr:colOff>42863</xdr:colOff>
      <xdr:row>51</xdr:row>
      <xdr:rowOff>85725</xdr:rowOff>
    </xdr:from>
    <xdr:to>
      <xdr:col>1</xdr:col>
      <xdr:colOff>801815</xdr:colOff>
      <xdr:row>51</xdr:row>
      <xdr:rowOff>867895</xdr:rowOff>
    </xdr:to>
    <xdr:pic>
      <xdr:nvPicPr>
        <xdr:cNvPr id="26" name="Picture 25">
          <a:extLst>
            <a:ext uri="{FF2B5EF4-FFF2-40B4-BE49-F238E27FC236}">
              <a16:creationId xmlns:a16="http://schemas.microsoft.com/office/drawing/2014/main" id="{003ECFCA-8664-473F-A10F-50636BD95DCF}"/>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919163" y="9877425"/>
          <a:ext cx="758952" cy="78217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57150</xdr:colOff>
          <xdr:row>51</xdr:row>
          <xdr:rowOff>19050</xdr:rowOff>
        </xdr:from>
        <xdr:to>
          <xdr:col>5</xdr:col>
          <xdr:colOff>38100</xdr:colOff>
          <xdr:row>52</xdr:row>
          <xdr:rowOff>19050</xdr:rowOff>
        </xdr:to>
        <xdr:pic>
          <xdr:nvPicPr>
            <xdr:cNvPr id="27" name="Picture 26">
              <a:extLst>
                <a:ext uri="{FF2B5EF4-FFF2-40B4-BE49-F238E27FC236}">
                  <a16:creationId xmlns:a16="http://schemas.microsoft.com/office/drawing/2014/main" id="{2E8350E2-3DB5-48FA-A867-AFE10DBC237D}"/>
                </a:ext>
              </a:extLst>
            </xdr:cNvPr>
            <xdr:cNvPicPr>
              <a:picLocks noChangeAspect="1" noChangeArrowheads="1"/>
              <a:extLst>
                <a:ext uri="{84589F7E-364E-4C9E-8A38-B11213B215E9}">
                  <a14:cameraTool cellRange="logo" spid="_x0000_s1047"/>
                </a:ext>
              </a:extLst>
            </xdr:cNvPicPr>
          </xdr:nvPicPr>
          <xdr:blipFill>
            <a:blip xmlns:r="http://schemas.openxmlformats.org/officeDocument/2006/relationships" r:embed="rId7"/>
            <a:srcRect/>
            <a:stretch>
              <a:fillRect/>
            </a:stretch>
          </xdr:blipFill>
          <xdr:spPr bwMode="auto">
            <a:xfrm>
              <a:off x="2924175" y="9810750"/>
              <a:ext cx="857250" cy="952500"/>
            </a:xfrm>
            <a:prstGeom prst="rect">
              <a:avLst/>
            </a:prstGeom>
            <a:solidFill>
              <a:srgbClr val="FFFFFF" mc:Ignorable="a14" a14:legacySpreadsheetColorIndex="9"/>
            </a:solidFill>
            <a:ln w="9525">
              <a:noFill/>
              <a:miter lim="800000"/>
              <a:headEnd/>
              <a:tailEnd/>
            </a:ln>
          </xdr:spPr>
        </xdr:pic>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5480.692687615738" createdVersion="7" refreshedVersion="7" minRefreshableVersion="3" recordCount="30" xr:uid="{44C94CC8-5991-4324-9961-BC9129821B2D}">
  <cacheSource type="worksheet">
    <worksheetSource name="RawData"/>
  </cacheSource>
  <cacheFields count="4">
    <cacheField name="Year" numFmtId="0">
      <sharedItems count="2">
        <s v="Current"/>
        <s v="PY"/>
      </sharedItems>
    </cacheField>
    <cacheField name="Division" numFmtId="0">
      <sharedItems count="3">
        <s v="Utility"/>
        <s v="Productivity"/>
        <s v="Game"/>
      </sharedItems>
    </cacheField>
    <cacheField name="Region" numFmtId="0">
      <sharedItems count="5">
        <s v="North America"/>
        <s v="South America"/>
        <s v="Asia"/>
        <s v="Europe"/>
        <s v="Australia"/>
      </sharedItems>
    </cacheField>
    <cacheField name="Revenue" numFmtId="0">
      <sharedItems containsSemiMixedTypes="0" containsString="0" containsNumber="1" containsInteger="1" minValue="11598" maxValue="65965"/>
    </cacheField>
  </cacheFields>
  <extLst>
    <ext xmlns:x14="http://schemas.microsoft.com/office/spreadsheetml/2009/9/main" uri="{725AE2AE-9491-48be-B2B4-4EB974FC3084}">
      <x14:pivotCacheDefinition pivotCacheId="76301846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x v="0"/>
    <x v="0"/>
    <x v="0"/>
    <n v="40000"/>
  </r>
  <r>
    <x v="0"/>
    <x v="0"/>
    <x v="1"/>
    <n v="20898"/>
  </r>
  <r>
    <x v="0"/>
    <x v="0"/>
    <x v="2"/>
    <n v="46994"/>
  </r>
  <r>
    <x v="0"/>
    <x v="0"/>
    <x v="3"/>
    <n v="43695"/>
  </r>
  <r>
    <x v="0"/>
    <x v="0"/>
    <x v="4"/>
    <n v="34196"/>
  </r>
  <r>
    <x v="0"/>
    <x v="1"/>
    <x v="0"/>
    <n v="34155"/>
  </r>
  <r>
    <x v="0"/>
    <x v="1"/>
    <x v="1"/>
    <n v="24396"/>
  </r>
  <r>
    <x v="0"/>
    <x v="1"/>
    <x v="2"/>
    <n v="29276"/>
  </r>
  <r>
    <x v="0"/>
    <x v="1"/>
    <x v="3"/>
    <n v="45540"/>
  </r>
  <r>
    <x v="0"/>
    <x v="1"/>
    <x v="4"/>
    <n v="29277"/>
  </r>
  <r>
    <x v="0"/>
    <x v="2"/>
    <x v="0"/>
    <n v="44675"/>
  </r>
  <r>
    <x v="0"/>
    <x v="2"/>
    <x v="1"/>
    <n v="42569"/>
  </r>
  <r>
    <x v="0"/>
    <x v="2"/>
    <x v="2"/>
    <n v="43784"/>
  </r>
  <r>
    <x v="0"/>
    <x v="2"/>
    <x v="3"/>
    <n v="46336"/>
  </r>
  <r>
    <x v="0"/>
    <x v="2"/>
    <x v="4"/>
    <n v="49656"/>
  </r>
  <r>
    <x v="1"/>
    <x v="0"/>
    <x v="0"/>
    <n v="24325"/>
  </r>
  <r>
    <x v="1"/>
    <x v="0"/>
    <x v="1"/>
    <n v="33681"/>
  </r>
  <r>
    <x v="1"/>
    <x v="0"/>
    <x v="2"/>
    <n v="39295"/>
  </r>
  <r>
    <x v="1"/>
    <x v="0"/>
    <x v="3"/>
    <n v="59878"/>
  </r>
  <r>
    <x v="1"/>
    <x v="0"/>
    <x v="4"/>
    <n v="29938"/>
  </r>
  <r>
    <x v="1"/>
    <x v="1"/>
    <x v="0"/>
    <n v="52311"/>
  </r>
  <r>
    <x v="1"/>
    <x v="1"/>
    <x v="1"/>
    <n v="31955"/>
  </r>
  <r>
    <x v="1"/>
    <x v="1"/>
    <x v="2"/>
    <n v="31955"/>
  </r>
  <r>
    <x v="1"/>
    <x v="1"/>
    <x v="3"/>
    <n v="31955"/>
  </r>
  <r>
    <x v="1"/>
    <x v="1"/>
    <x v="4"/>
    <n v="11598"/>
  </r>
  <r>
    <x v="1"/>
    <x v="2"/>
    <x v="0"/>
    <n v="53963"/>
  </r>
  <r>
    <x v="1"/>
    <x v="2"/>
    <x v="1"/>
    <n v="65965"/>
  </r>
  <r>
    <x v="1"/>
    <x v="2"/>
    <x v="2"/>
    <n v="19989"/>
  </r>
  <r>
    <x v="1"/>
    <x v="2"/>
    <x v="3"/>
    <n v="39979"/>
  </r>
  <r>
    <x v="1"/>
    <x v="2"/>
    <x v="4"/>
    <n v="1999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391C83E-D682-4382-9442-182D76E99200}" name="PivotTable9" cacheId="56" applyNumberFormats="0" applyBorderFormats="0" applyFontFormats="0" applyPatternFormats="0" applyAlignmentFormats="0" applyWidthHeightFormats="1" dataCaption="Values" grandTotalCaption="Total" updatedVersion="7" minRefreshableVersion="3" colGrandTotals="0" itemPrintTitles="1" createdVersion="7" indent="0" outline="1" outlineData="1" multipleFieldFilters="0" rowHeaderCaption=" Division">
  <location ref="A29:G35" firstHeaderRow="1" firstDataRow="3" firstDataCol="1"/>
  <pivotFields count="4">
    <pivotField axis="axisCol" showAll="0">
      <items count="3">
        <item x="0"/>
        <item x="1"/>
        <item t="default"/>
      </items>
    </pivotField>
    <pivotField axis="axisRow" showAll="0">
      <items count="4">
        <item x="0"/>
        <item x="1"/>
        <item x="2"/>
        <item t="default"/>
      </items>
    </pivotField>
    <pivotField showAll="0">
      <items count="6">
        <item h="1" x="2"/>
        <item x="4"/>
        <item h="1" x="3"/>
        <item h="1" x="0"/>
        <item h="1" x="1"/>
        <item t="default"/>
      </items>
    </pivotField>
    <pivotField dataField="1" showAll="0"/>
  </pivotFields>
  <rowFields count="1">
    <field x="1"/>
  </rowFields>
  <rowItems count="4">
    <i>
      <x/>
    </i>
    <i>
      <x v="1"/>
    </i>
    <i>
      <x v="2"/>
    </i>
    <i t="grand">
      <x/>
    </i>
  </rowItems>
  <colFields count="2">
    <field x="0"/>
    <field x="-2"/>
  </colFields>
  <colItems count="6">
    <i>
      <x/>
      <x/>
    </i>
    <i r="1" i="1">
      <x v="1"/>
    </i>
    <i r="1" i="2">
      <x v="2"/>
    </i>
    <i>
      <x v="1"/>
      <x/>
    </i>
    <i r="1" i="1">
      <x v="1"/>
    </i>
    <i r="1" i="2">
      <x v="2"/>
    </i>
  </colItems>
  <dataFields count="3">
    <dataField name=" Revenue" fld="3" baseField="0" baseItem="0" numFmtId="3"/>
    <dataField name="%∆PY" fld="3" showDataAs="percentDiff" baseField="0" baseItem="1" numFmtId="10"/>
    <dataField name=" " fld="3" showDataAs="percentDiff" baseField="0" baseItem="1" numFmtId="10"/>
  </dataFields>
  <formats count="14">
    <format dxfId="82">
      <pivotArea outline="0" collapsedLevelsAreSubtotals="1" fieldPosition="0"/>
    </format>
    <format dxfId="83">
      <pivotArea outline="0" fieldPosition="0">
        <references count="1">
          <reference field="4294967294" count="1">
            <x v="1"/>
          </reference>
        </references>
      </pivotArea>
    </format>
    <format dxfId="84">
      <pivotArea dataOnly="0" labelOnly="1" fieldPosition="0">
        <references count="1">
          <reference field="1" count="0"/>
        </references>
      </pivotArea>
    </format>
    <format dxfId="85">
      <pivotArea type="all" dataOnly="0" outline="0" fieldPosition="0"/>
    </format>
    <format dxfId="86">
      <pivotArea outline="0" collapsedLevelsAreSubtotals="1" fieldPosition="0">
        <references count="2">
          <reference field="4294967294" count="1" selected="0">
            <x v="1"/>
          </reference>
          <reference field="0" count="1" selected="0">
            <x v="0"/>
          </reference>
        </references>
      </pivotArea>
    </format>
    <format dxfId="87">
      <pivotArea dataOnly="0" labelOnly="1" outline="0" fieldPosition="0">
        <references count="2">
          <reference field="4294967294" count="1">
            <x v="1"/>
          </reference>
          <reference field="0" count="1" selected="0">
            <x v="0"/>
          </reference>
        </references>
      </pivotArea>
    </format>
    <format dxfId="88">
      <pivotArea dataOnly="0" labelOnly="1" fieldPosition="0">
        <references count="1">
          <reference field="0" count="0"/>
        </references>
      </pivotArea>
    </format>
    <format dxfId="89">
      <pivotArea dataOnly="0" labelOnly="1" outline="0" fieldPosition="0">
        <references count="2">
          <reference field="4294967294" count="2">
            <x v="0"/>
            <x v="1"/>
          </reference>
          <reference field="0" count="1" selected="0">
            <x v="0"/>
          </reference>
        </references>
      </pivotArea>
    </format>
    <format dxfId="90">
      <pivotArea dataOnly="0" labelOnly="1" outline="0" fieldPosition="0">
        <references count="2">
          <reference field="4294967294" count="2">
            <x v="0"/>
            <x v="1"/>
          </reference>
          <reference field="0" count="1" selected="0">
            <x v="1"/>
          </reference>
        </references>
      </pivotArea>
    </format>
    <format dxfId="91">
      <pivotArea outline="0" fieldPosition="0">
        <references count="1">
          <reference field="4294967294" count="1">
            <x v="2"/>
          </reference>
        </references>
      </pivotArea>
    </format>
    <format dxfId="92">
      <pivotArea outline="0" collapsedLevelsAreSubtotals="1" fieldPosition="0">
        <references count="2">
          <reference field="4294967294" count="1" selected="0">
            <x v="2"/>
          </reference>
          <reference field="0" count="1" selected="0">
            <x v="0"/>
          </reference>
        </references>
      </pivotArea>
    </format>
    <format dxfId="93">
      <pivotArea outline="0" collapsedLevelsAreSubtotals="1" fieldPosition="0">
        <references count="2">
          <reference field="4294967294" count="1" selected="0">
            <x v="1"/>
          </reference>
          <reference field="0" count="1" selected="0">
            <x v="0"/>
          </reference>
        </references>
      </pivotArea>
    </format>
    <format dxfId="57">
      <pivotArea collapsedLevelsAreSubtotals="1" fieldPosition="0">
        <references count="3">
          <reference field="4294967294" count="1" selected="0">
            <x v="0"/>
          </reference>
          <reference field="0" count="1" selected="0">
            <x v="0"/>
          </reference>
          <reference field="1" count="0"/>
        </references>
      </pivotArea>
    </format>
    <format dxfId="56">
      <pivotArea collapsedLevelsAreSubtotals="1" fieldPosition="0">
        <references count="3">
          <reference field="4294967294" count="1" selected="0">
            <x v="0"/>
          </reference>
          <reference field="0" count="1" selected="0">
            <x v="1"/>
          </reference>
          <reference field="1" count="0"/>
        </references>
      </pivotArea>
    </format>
  </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x14:conditionalFormats count="1">
          <x14:conditionalFormat scope="data" priority="1" id="{1E2BB1EF-887C-4E5D-9A98-0D3FD353A562}">
            <x14:pivotAreas count="1">
              <pivotArea outline="0" fieldPosition="0">
                <references count="1">
                  <reference field="4294967294" count="1" selected="0">
                    <x v="2"/>
                  </reference>
                </references>
              </pivotArea>
            </x14:pivotAreas>
          </x14:conditionalFormat>
        </x14:conditionalFormats>
      </x14:pivotTableDefinition>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F43F1A9-685F-4DDB-80CA-EB75B12D7036}" name="Pivot_Region" cacheId="56"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location ref="A5:A6" firstHeaderRow="1" firstDataRow="1" firstDataCol="1"/>
  <pivotFields count="4">
    <pivotField showAll="0"/>
    <pivotField axis="axisRow" showAll="0">
      <items count="4">
        <item h="1" x="2"/>
        <item h="1" x="1"/>
        <item x="0"/>
        <item t="default"/>
      </items>
    </pivotField>
    <pivotField showAll="0"/>
    <pivotField showAll="0"/>
  </pivotFields>
  <rowFields count="1">
    <field x="1"/>
  </rowFields>
  <rowItems count="1">
    <i>
      <x v="2"/>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vision" xr10:uid="{30A24A8C-5D74-42E1-984B-8724C0F5A116}" sourceName="Division">
  <pivotTables>
    <pivotTable tabId="2" name="Pivot_Region"/>
  </pivotTables>
  <data>
    <tabular pivotCacheId="763018464" sortOrder="descending" customListSort="0">
      <items count="3">
        <i x="0" s="1"/>
        <i x="1"/>
        <i x="2"/>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0B07E5C6-DE18-46A8-96AD-ECA047A188D4}" sourceName="Region">
  <pivotTables>
    <pivotTable tabId="2" name="PivotTable9"/>
  </pivotTables>
  <data>
    <tabular pivotCacheId="763018464">
      <items count="5">
        <i x="0"/>
        <i x="1"/>
        <i x="2"/>
        <i x="3"/>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ivision 1" xr10:uid="{97027181-0EA2-4037-BC5A-C1E6F3F08A37}" cache="Slicer_Division" caption="Division" showCaption="0" style="Slicer Dashboard" rowHeight="241300"/>
  <slicer name="Region" xr10:uid="{0F41B273-1630-427F-B851-E96E12B66A17}" cache="Slicer_Region" caption="Region" showCaption="0" style="Slicer Dashboard"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ivision" xr10:uid="{67247EE6-7EB3-4E70-ACE3-46A16D98CE43}" cache="Slicer_Division" caption="Division"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7C47BA3-47BE-4C2A-92E3-A580BA3C3BFD}" name="RawData" displayName="RawData" ref="A1:D31" totalsRowShown="0" headerRowDxfId="96">
  <autoFilter ref="A1:D31" xr:uid="{00000000-0009-0000-0100-000001000000}"/>
  <tableColumns count="4">
    <tableColumn id="1" xr3:uid="{C35817CD-69F2-44AA-83A8-D36F2A706153}" name="Year"/>
    <tableColumn id="2" xr3:uid="{C2DFE33A-2A19-4145-883D-79BAFE4B8C81}" name="Division"/>
    <tableColumn id="3" xr3:uid="{5C9AB752-0D2E-4B90-B7FD-2189F1DD7F69}" name="Region"/>
    <tableColumn id="4" xr3:uid="{251A087E-4F76-4C4A-B0D7-5A4E4427ED6D}" name="Revenue"/>
  </tableColumns>
  <tableStyleInfo showFirstColumn="0" showLastColumn="0" showRowStripes="1" showColumnStripes="0"/>
</table>
</file>

<file path=xl/theme/theme1.xml><?xml version="1.0" encoding="utf-8"?>
<a:theme xmlns:a="http://schemas.openxmlformats.org/drawingml/2006/main" name="Office Theme">
  <a:themeElements>
    <a:clrScheme name="Slicer Dashboard">
      <a:dk1>
        <a:sysClr val="windowText" lastClr="000000"/>
      </a:dk1>
      <a:lt1>
        <a:sysClr val="window" lastClr="FFFFFF"/>
      </a:lt1>
      <a:dk2>
        <a:srgbClr val="44546A"/>
      </a:dk2>
      <a:lt2>
        <a:srgbClr val="E7E6E6"/>
      </a:lt2>
      <a:accent1>
        <a:srgbClr val="BFBFBF"/>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2.xml"/><Relationship Id="rId5" Type="http://schemas.openxmlformats.org/officeDocument/2006/relationships/vmlDrawing" Target="../drawings/vmlDrawing2.vm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1D709A-ED3D-4E2B-A327-76EABDF2DC03}">
  <sheetPr codeName="Sheet1"/>
  <dimension ref="A1:S30"/>
  <sheetViews>
    <sheetView showGridLines="0" showRowColHeaders="0" tabSelected="1" workbookViewId="0">
      <selection activeCell="H27" sqref="H27"/>
    </sheetView>
  </sheetViews>
  <sheetFormatPr defaultRowHeight="15" x14ac:dyDescent="0.25"/>
  <cols>
    <col min="12" max="12" width="14.42578125" customWidth="1"/>
    <col min="17" max="17" width="0" hidden="1" customWidth="1"/>
    <col min="18" max="18" width="9.140625" hidden="1" customWidth="1"/>
    <col min="19" max="19" width="19.140625" customWidth="1"/>
  </cols>
  <sheetData>
    <row r="1" spans="1:19" x14ac:dyDescent="0.25">
      <c r="A1" s="11"/>
      <c r="B1" s="11"/>
      <c r="C1" s="11"/>
      <c r="D1" s="11"/>
      <c r="E1" s="11"/>
      <c r="F1" s="11"/>
      <c r="G1" s="11"/>
      <c r="H1" s="11"/>
      <c r="I1" s="11"/>
      <c r="J1" s="11"/>
      <c r="K1" s="11"/>
      <c r="L1" s="11"/>
      <c r="M1" s="11"/>
      <c r="N1" s="11"/>
      <c r="O1" s="11"/>
      <c r="P1" s="11"/>
      <c r="Q1" s="11"/>
      <c r="R1" s="11"/>
      <c r="S1" s="11"/>
    </row>
    <row r="2" spans="1:19" x14ac:dyDescent="0.25">
      <c r="A2" s="11"/>
      <c r="B2" s="11"/>
      <c r="C2" s="11"/>
      <c r="D2" s="11"/>
      <c r="E2" s="11"/>
      <c r="F2" s="11"/>
      <c r="G2" s="11"/>
      <c r="H2" s="11"/>
      <c r="I2" s="11"/>
      <c r="J2" s="11"/>
      <c r="K2" s="11"/>
      <c r="L2" s="11"/>
      <c r="M2" s="11"/>
      <c r="N2" s="11"/>
      <c r="O2" s="11"/>
      <c r="P2" s="11"/>
      <c r="Q2" s="11"/>
      <c r="R2" s="11"/>
      <c r="S2" s="11"/>
    </row>
    <row r="3" spans="1:19" x14ac:dyDescent="0.25">
      <c r="A3" s="11"/>
      <c r="B3" s="11"/>
      <c r="C3" s="11"/>
      <c r="D3" s="11"/>
      <c r="E3" s="11"/>
      <c r="F3" s="11"/>
      <c r="G3" s="11"/>
      <c r="H3" s="11"/>
      <c r="I3" s="11"/>
      <c r="J3" s="11"/>
      <c r="K3" s="11"/>
      <c r="L3" s="11"/>
      <c r="M3" s="11"/>
      <c r="N3" s="11"/>
      <c r="O3" s="11"/>
      <c r="P3" s="11"/>
      <c r="Q3" s="11"/>
      <c r="R3" s="11"/>
      <c r="S3" s="11"/>
    </row>
    <row r="4" spans="1:19" x14ac:dyDescent="0.25">
      <c r="A4" s="11"/>
      <c r="B4" s="11"/>
      <c r="C4" s="11"/>
      <c r="D4" s="11"/>
      <c r="E4" s="11"/>
      <c r="F4" s="11"/>
      <c r="G4" s="11"/>
      <c r="H4" s="11"/>
      <c r="I4" s="11"/>
      <c r="J4" s="11"/>
      <c r="K4" s="11"/>
      <c r="L4" s="11"/>
      <c r="M4" s="11"/>
      <c r="N4" s="11"/>
      <c r="O4" s="11"/>
      <c r="P4" s="11"/>
      <c r="Q4" s="11"/>
      <c r="R4" s="11"/>
      <c r="S4" s="11"/>
    </row>
    <row r="5" spans="1:19" x14ac:dyDescent="0.25">
      <c r="A5" s="11"/>
      <c r="B5" s="11"/>
      <c r="C5" s="11"/>
      <c r="D5" s="11"/>
      <c r="E5" s="11"/>
      <c r="F5" s="11"/>
      <c r="G5" s="11"/>
      <c r="H5" s="11"/>
      <c r="I5" s="11"/>
      <c r="J5" s="11"/>
      <c r="K5" s="11"/>
      <c r="L5" s="11"/>
      <c r="M5" s="11"/>
      <c r="N5" s="11"/>
      <c r="O5" s="11"/>
      <c r="P5" s="11"/>
      <c r="Q5" s="11"/>
      <c r="R5" s="11"/>
      <c r="S5" s="11"/>
    </row>
    <row r="6" spans="1:19" x14ac:dyDescent="0.25">
      <c r="A6" s="11"/>
      <c r="B6" s="11"/>
      <c r="C6" s="11"/>
      <c r="D6" s="11"/>
      <c r="E6" s="11"/>
      <c r="F6" s="11"/>
      <c r="G6" s="11"/>
      <c r="H6" s="11"/>
      <c r="I6" s="11"/>
      <c r="J6" s="11"/>
      <c r="K6" s="11"/>
      <c r="L6" s="11"/>
      <c r="M6" s="11"/>
      <c r="N6" s="11"/>
      <c r="O6" s="11"/>
      <c r="P6" s="11"/>
      <c r="Q6" s="11"/>
      <c r="R6" s="11"/>
      <c r="S6" s="11"/>
    </row>
    <row r="7" spans="1:19" ht="18.75" x14ac:dyDescent="0.3">
      <c r="A7" s="11"/>
      <c r="B7" s="13" t="str">
        <f>IF(COUNTA(Calculation!A6:A8)&gt;1,"Please select only 1 Division!","")</f>
        <v/>
      </c>
      <c r="C7" s="11"/>
      <c r="D7" s="11"/>
      <c r="E7" s="11"/>
      <c r="F7" s="11"/>
      <c r="G7" s="11"/>
      <c r="H7" s="11"/>
      <c r="I7" s="11"/>
      <c r="J7" s="11"/>
      <c r="K7" s="11"/>
      <c r="L7" s="11"/>
      <c r="M7" s="11"/>
      <c r="N7" s="11"/>
      <c r="O7" s="11"/>
      <c r="P7" s="11"/>
      <c r="Q7" s="11"/>
      <c r="R7" s="11"/>
      <c r="S7" s="11"/>
    </row>
    <row r="8" spans="1:19" x14ac:dyDescent="0.25">
      <c r="A8" s="11"/>
      <c r="B8" s="11"/>
      <c r="C8" s="11"/>
      <c r="D8" s="11"/>
      <c r="E8" s="11"/>
      <c r="F8" s="11"/>
      <c r="G8" s="11"/>
      <c r="H8" s="11"/>
      <c r="I8" s="11"/>
      <c r="J8" s="11"/>
      <c r="K8" s="11"/>
      <c r="L8" s="11"/>
      <c r="M8" s="11"/>
      <c r="N8" s="11"/>
      <c r="O8" s="11"/>
      <c r="P8" s="11"/>
      <c r="Q8" s="11"/>
      <c r="R8" s="11"/>
      <c r="S8" s="11"/>
    </row>
    <row r="9" spans="1:19" x14ac:dyDescent="0.25">
      <c r="A9" s="11"/>
      <c r="B9" s="11"/>
      <c r="C9" s="11"/>
      <c r="D9" s="11"/>
      <c r="E9" s="11"/>
      <c r="F9" s="11"/>
      <c r="G9" s="11"/>
      <c r="H9" s="11"/>
      <c r="I9" s="11"/>
      <c r="J9" s="11"/>
      <c r="K9" s="11"/>
      <c r="L9" s="11"/>
      <c r="M9" s="11"/>
      <c r="N9" s="11"/>
      <c r="O9" s="11"/>
      <c r="P9" s="11"/>
      <c r="Q9" s="11"/>
      <c r="R9" s="11"/>
      <c r="S9" s="11"/>
    </row>
    <row r="10" spans="1:19" x14ac:dyDescent="0.25">
      <c r="A10" s="11"/>
      <c r="B10" s="11"/>
      <c r="C10" s="11"/>
      <c r="D10" s="11"/>
      <c r="E10" s="11"/>
      <c r="F10" s="11"/>
      <c r="G10" s="11"/>
      <c r="H10" s="11"/>
      <c r="I10" s="11"/>
      <c r="J10" s="11"/>
      <c r="K10" s="11"/>
      <c r="L10" s="11"/>
      <c r="M10" s="11"/>
      <c r="N10" s="11"/>
      <c r="O10" s="11"/>
      <c r="P10" s="11"/>
      <c r="Q10" s="11"/>
      <c r="R10" s="11"/>
      <c r="S10" s="11"/>
    </row>
    <row r="11" spans="1:19" x14ac:dyDescent="0.25">
      <c r="A11" s="11"/>
      <c r="B11" s="11"/>
      <c r="C11" s="11"/>
      <c r="D11" s="11"/>
      <c r="E11" s="11"/>
      <c r="F11" s="11"/>
      <c r="G11" s="11"/>
      <c r="H11" s="11"/>
      <c r="I11" s="11"/>
      <c r="J11" s="11"/>
      <c r="K11" s="11"/>
      <c r="L11" s="11"/>
      <c r="M11" s="11"/>
      <c r="N11" s="11"/>
      <c r="O11" s="11"/>
      <c r="P11" s="11"/>
      <c r="Q11" s="11"/>
      <c r="R11" s="11"/>
      <c r="S11" s="11"/>
    </row>
    <row r="12" spans="1:19" x14ac:dyDescent="0.25">
      <c r="A12" s="11"/>
      <c r="B12" s="11"/>
      <c r="C12" s="11"/>
      <c r="D12" s="11"/>
      <c r="E12" s="11"/>
      <c r="F12" s="11"/>
      <c r="G12" s="11"/>
      <c r="H12" s="11"/>
      <c r="I12" s="11"/>
      <c r="J12" s="11"/>
      <c r="K12" s="11"/>
      <c r="L12" s="11"/>
      <c r="M12" s="11"/>
      <c r="N12" s="11"/>
      <c r="O12" s="11"/>
      <c r="P12" s="11"/>
      <c r="Q12" s="11"/>
      <c r="R12" s="11"/>
      <c r="S12" s="11"/>
    </row>
    <row r="13" spans="1:19" x14ac:dyDescent="0.25">
      <c r="A13" s="11"/>
      <c r="B13" s="11"/>
      <c r="C13" s="11"/>
      <c r="D13" s="11"/>
      <c r="E13" s="11"/>
      <c r="F13" s="11"/>
      <c r="G13" s="11"/>
      <c r="H13" s="11"/>
      <c r="I13" s="11"/>
      <c r="J13" s="11"/>
      <c r="K13" s="11"/>
      <c r="L13" s="11"/>
      <c r="M13" s="11"/>
      <c r="N13" s="11"/>
      <c r="O13" s="11"/>
      <c r="P13" s="11"/>
      <c r="Q13" s="11"/>
      <c r="R13" s="11"/>
      <c r="S13" s="11"/>
    </row>
    <row r="14" spans="1:19" x14ac:dyDescent="0.25">
      <c r="A14" s="11"/>
      <c r="B14" s="11"/>
      <c r="C14" s="11"/>
      <c r="D14" s="11"/>
      <c r="E14" s="11"/>
      <c r="F14" s="11"/>
      <c r="G14" s="11"/>
      <c r="H14" s="11"/>
      <c r="I14" s="11"/>
      <c r="J14" s="11"/>
      <c r="K14" s="11"/>
      <c r="L14" s="11"/>
      <c r="M14" s="11"/>
      <c r="N14" s="11"/>
      <c r="O14" s="11"/>
      <c r="P14" s="11"/>
      <c r="Q14" s="11"/>
      <c r="R14" s="11"/>
      <c r="S14" s="11"/>
    </row>
    <row r="15" spans="1:19" x14ac:dyDescent="0.25">
      <c r="A15" s="11"/>
      <c r="B15" s="11"/>
      <c r="C15" s="11"/>
      <c r="D15" s="11"/>
      <c r="E15" s="11"/>
      <c r="F15" s="11"/>
      <c r="G15" s="11"/>
      <c r="H15" s="11"/>
      <c r="I15" s="11"/>
      <c r="J15" s="11"/>
      <c r="K15" s="11"/>
      <c r="L15" s="11"/>
      <c r="M15" s="11"/>
      <c r="N15" s="11"/>
      <c r="O15" s="11"/>
      <c r="P15" s="11"/>
      <c r="Q15" s="11"/>
      <c r="R15" s="11"/>
      <c r="S15" s="11"/>
    </row>
    <row r="16" spans="1:19" x14ac:dyDescent="0.25">
      <c r="A16" s="11"/>
      <c r="B16" s="11"/>
      <c r="C16" s="11"/>
      <c r="D16" s="11"/>
      <c r="E16" s="11"/>
      <c r="F16" s="11"/>
      <c r="G16" s="11"/>
      <c r="H16" s="11"/>
      <c r="I16" s="11"/>
      <c r="J16" s="11"/>
      <c r="K16" s="11"/>
      <c r="L16" s="11"/>
      <c r="M16" s="11"/>
      <c r="N16" s="11"/>
      <c r="O16" s="11"/>
      <c r="P16" s="11"/>
      <c r="Q16" s="11"/>
      <c r="R16" s="11"/>
      <c r="S16" s="11"/>
    </row>
    <row r="17" spans="1:19" x14ac:dyDescent="0.25">
      <c r="A17" s="11"/>
      <c r="B17" s="11"/>
      <c r="C17" s="11"/>
      <c r="D17" s="11"/>
      <c r="E17" s="11"/>
      <c r="F17" s="11"/>
      <c r="G17" s="11"/>
      <c r="H17" s="11"/>
      <c r="I17" s="11"/>
      <c r="J17" s="11"/>
      <c r="K17" s="11"/>
      <c r="L17" s="11"/>
      <c r="M17" s="11"/>
      <c r="N17" s="11"/>
      <c r="O17" s="11"/>
      <c r="P17" s="11"/>
      <c r="Q17" s="11"/>
      <c r="R17" s="11"/>
      <c r="S17" s="11"/>
    </row>
    <row r="18" spans="1:19" x14ac:dyDescent="0.25">
      <c r="A18" s="11"/>
      <c r="B18" s="11"/>
      <c r="C18" s="11"/>
      <c r="D18" s="11"/>
      <c r="E18" s="11"/>
      <c r="F18" s="11"/>
      <c r="G18" s="11"/>
      <c r="H18" s="11"/>
      <c r="I18" s="11"/>
      <c r="J18" s="11"/>
      <c r="K18" s="11"/>
      <c r="L18" s="11"/>
      <c r="M18" s="11"/>
      <c r="N18" s="11"/>
      <c r="O18" s="11"/>
      <c r="P18" s="11"/>
      <c r="Q18" s="11"/>
      <c r="R18" s="11"/>
      <c r="S18" s="11"/>
    </row>
    <row r="19" spans="1:19" x14ac:dyDescent="0.25">
      <c r="A19" s="11"/>
      <c r="B19" s="11"/>
      <c r="C19" s="11"/>
      <c r="D19" s="11"/>
      <c r="E19" s="11"/>
      <c r="F19" s="11"/>
      <c r="G19" s="11"/>
      <c r="H19" s="11"/>
      <c r="I19" s="11"/>
      <c r="J19" s="11"/>
      <c r="K19" s="11"/>
      <c r="L19" s="11"/>
      <c r="M19" s="11"/>
      <c r="N19" s="11"/>
      <c r="O19" s="11"/>
      <c r="P19" s="11"/>
      <c r="Q19" s="11"/>
      <c r="R19" s="11"/>
      <c r="S19" s="11"/>
    </row>
    <row r="20" spans="1:19" x14ac:dyDescent="0.25">
      <c r="A20" s="11"/>
      <c r="B20" s="11"/>
      <c r="C20" s="11"/>
      <c r="D20" s="11"/>
      <c r="E20" s="11"/>
      <c r="F20" s="11"/>
      <c r="G20" s="11"/>
      <c r="H20" s="11"/>
      <c r="I20" s="11"/>
      <c r="J20" s="11"/>
      <c r="K20" s="11"/>
      <c r="L20" s="11"/>
      <c r="M20" s="11"/>
      <c r="N20" s="11"/>
      <c r="O20" s="11"/>
      <c r="P20" s="11"/>
      <c r="Q20" s="11"/>
      <c r="R20" s="11"/>
      <c r="S20" s="11"/>
    </row>
    <row r="21" spans="1:19" x14ac:dyDescent="0.25">
      <c r="A21" s="11"/>
      <c r="B21" s="11"/>
      <c r="C21" s="11"/>
      <c r="D21" s="11"/>
      <c r="E21" s="11"/>
      <c r="F21" s="11"/>
      <c r="G21" s="11"/>
      <c r="H21" s="11"/>
      <c r="I21" s="11"/>
      <c r="J21" s="11"/>
      <c r="K21" s="11"/>
      <c r="L21" s="11"/>
      <c r="M21" s="11"/>
      <c r="N21" s="11"/>
      <c r="O21" s="11"/>
      <c r="P21" s="11"/>
      <c r="Q21" s="11"/>
      <c r="R21" s="11"/>
      <c r="S21" s="11"/>
    </row>
    <row r="22" spans="1:19" x14ac:dyDescent="0.25">
      <c r="A22" s="11"/>
      <c r="B22" s="11"/>
      <c r="C22" s="11"/>
      <c r="D22" s="11"/>
      <c r="E22" s="11"/>
      <c r="F22" s="11"/>
      <c r="G22" s="11"/>
      <c r="H22" s="11"/>
      <c r="I22" s="11"/>
      <c r="J22" s="11"/>
      <c r="K22" s="11"/>
      <c r="L22" s="11"/>
      <c r="M22" s="11"/>
      <c r="N22" s="11"/>
      <c r="O22" s="11"/>
      <c r="P22" s="11"/>
      <c r="S22" s="11"/>
    </row>
    <row r="23" spans="1:19" x14ac:dyDescent="0.25">
      <c r="A23" s="11"/>
      <c r="B23" s="11"/>
      <c r="C23" s="11"/>
      <c r="D23" s="11"/>
      <c r="E23" s="11"/>
      <c r="F23" s="11"/>
      <c r="G23" s="11"/>
      <c r="H23" s="11"/>
      <c r="I23" s="11"/>
      <c r="J23" s="11"/>
      <c r="K23" s="11"/>
      <c r="L23" s="11"/>
      <c r="M23" s="11"/>
      <c r="N23" s="11"/>
      <c r="O23" s="11"/>
      <c r="P23" s="11"/>
      <c r="S23" s="11"/>
    </row>
    <row r="24" spans="1:19" x14ac:dyDescent="0.25">
      <c r="A24" s="11"/>
      <c r="B24" s="11"/>
      <c r="C24" s="11"/>
      <c r="D24" s="11"/>
      <c r="E24" s="11"/>
      <c r="F24" s="11"/>
      <c r="G24" s="11"/>
      <c r="H24" s="11"/>
      <c r="I24" s="11"/>
      <c r="J24" s="11"/>
      <c r="K24" s="11"/>
      <c r="L24" s="11"/>
      <c r="M24" s="11"/>
      <c r="N24" s="11"/>
      <c r="O24" s="11"/>
      <c r="P24" s="11"/>
      <c r="S24" s="11"/>
    </row>
    <row r="25" spans="1:19" x14ac:dyDescent="0.25">
      <c r="A25" s="11"/>
      <c r="B25" s="11"/>
      <c r="C25" s="11"/>
      <c r="D25" s="11"/>
      <c r="E25" s="11"/>
      <c r="F25" s="11"/>
      <c r="G25" s="11"/>
      <c r="H25" s="11"/>
      <c r="I25" s="11"/>
      <c r="J25" s="11"/>
      <c r="K25" s="11"/>
      <c r="L25" s="11"/>
      <c r="M25" s="11"/>
      <c r="N25" s="11"/>
      <c r="O25" s="11"/>
      <c r="P25" s="11"/>
      <c r="S25" s="11"/>
    </row>
    <row r="26" spans="1:19" x14ac:dyDescent="0.25">
      <c r="A26" s="11"/>
      <c r="B26" s="11"/>
      <c r="C26" s="11"/>
      <c r="D26" s="11"/>
      <c r="E26" s="11"/>
      <c r="F26" s="11"/>
      <c r="G26" s="11"/>
      <c r="H26" s="11"/>
      <c r="I26" s="11"/>
      <c r="J26" s="11"/>
      <c r="K26" s="11"/>
      <c r="L26" s="11"/>
      <c r="M26" s="11"/>
      <c r="N26" s="11"/>
      <c r="O26" s="11"/>
      <c r="P26" s="11"/>
      <c r="S26" s="11"/>
    </row>
    <row r="27" spans="1:19" x14ac:dyDescent="0.25">
      <c r="A27" s="11"/>
      <c r="B27" s="11"/>
      <c r="C27" s="11"/>
      <c r="D27" s="11"/>
      <c r="E27" s="11"/>
      <c r="F27" s="11"/>
      <c r="G27" s="11"/>
      <c r="H27" s="11"/>
      <c r="I27" s="11"/>
      <c r="J27" s="11"/>
      <c r="K27" s="11"/>
      <c r="L27" s="11"/>
      <c r="M27" s="11"/>
      <c r="N27" s="11"/>
      <c r="O27" s="11"/>
      <c r="P27" s="11"/>
      <c r="S27" s="11"/>
    </row>
    <row r="28" spans="1:19" x14ac:dyDescent="0.25">
      <c r="A28" s="11"/>
      <c r="B28" s="11"/>
      <c r="C28" s="11"/>
      <c r="D28" s="11"/>
      <c r="E28" s="11"/>
      <c r="F28" s="11"/>
      <c r="G28" s="11"/>
      <c r="H28" s="11"/>
      <c r="I28" s="11"/>
      <c r="J28" s="11"/>
      <c r="K28" s="11"/>
      <c r="L28" s="11"/>
      <c r="M28" s="11"/>
      <c r="N28" s="11"/>
      <c r="O28" s="11"/>
      <c r="P28" s="11"/>
      <c r="S28" s="11"/>
    </row>
    <row r="29" spans="1:19" x14ac:dyDescent="0.25">
      <c r="A29" s="11"/>
      <c r="B29" s="11"/>
      <c r="C29" s="11"/>
      <c r="D29" s="11"/>
      <c r="E29" s="11"/>
      <c r="F29" s="11"/>
      <c r="G29" s="11"/>
      <c r="H29" s="11"/>
      <c r="I29" s="11"/>
      <c r="J29" s="11"/>
      <c r="K29" s="11"/>
      <c r="L29" s="11"/>
      <c r="M29" s="11"/>
      <c r="N29" s="11"/>
      <c r="O29" s="11"/>
      <c r="P29" s="11"/>
      <c r="Q29" s="11"/>
      <c r="R29" s="11"/>
      <c r="S29" s="11"/>
    </row>
    <row r="30" spans="1:19" x14ac:dyDescent="0.25">
      <c r="A30" s="11"/>
      <c r="B30" s="11"/>
      <c r="C30" s="11"/>
      <c r="D30" s="11"/>
      <c r="E30" s="11"/>
      <c r="F30" s="11"/>
      <c r="G30" s="11"/>
      <c r="H30" s="11"/>
      <c r="I30" s="11"/>
      <c r="J30" s="11"/>
      <c r="K30" s="11"/>
      <c r="L30" s="11"/>
      <c r="M30" s="11"/>
      <c r="N30" s="11"/>
      <c r="O30" s="11"/>
      <c r="P30" s="11"/>
      <c r="Q30" s="11"/>
      <c r="R30" s="11"/>
      <c r="S30" s="11"/>
    </row>
  </sheetData>
  <sheetProtection algorithmName="SHA-512" hashValue="2jF+EJCeSxZhGV8kXuvE72Xc/qwYOaG0bSTIiVrplc4PQEA1RPpr54RYv7Bhuy1ysHWCS6M8Ri9CxDpAiUrdQA==" saltValue="q3kXzcxHWxJy9iZcnqkooQ==" spinCount="100000" sheet="1" objects="1" scenarios="1"/>
  <pageMargins left="0.7" right="0.7" top="0.75" bottom="0.75" header="0.3" footer="0.3"/>
  <drawing r:id="rId1"/>
  <legacy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BD0547-9394-455F-8406-461FF66956A3}">
  <sheetPr codeName="Sheet2"/>
  <dimension ref="A2:Q54"/>
  <sheetViews>
    <sheetView topLeftCell="A22" workbookViewId="0">
      <selection activeCell="A32" sqref="A32"/>
    </sheetView>
  </sheetViews>
  <sheetFormatPr defaultRowHeight="15" x14ac:dyDescent="0.25"/>
  <cols>
    <col min="1" max="1" width="13.140625" bestFit="1" customWidth="1"/>
    <col min="2" max="2" width="12.85546875" customWidth="1"/>
    <col min="3" max="3" width="14" customWidth="1"/>
    <col min="4" max="4" width="3" customWidth="1"/>
    <col min="5" max="5" width="13.140625" customWidth="1"/>
    <col min="6" max="6" width="14" customWidth="1"/>
    <col min="7" max="7" width="10.140625" bestFit="1" customWidth="1"/>
    <col min="11" max="11" width="14.7109375" bestFit="1" customWidth="1"/>
    <col min="13" max="13" width="11.5703125" customWidth="1"/>
    <col min="14" max="14" width="12.42578125" customWidth="1"/>
  </cols>
  <sheetData>
    <row r="2" spans="1:14" x14ac:dyDescent="0.25">
      <c r="A2" s="2" t="s">
        <v>14</v>
      </c>
      <c r="B2" s="3"/>
      <c r="C2" s="3"/>
      <c r="D2" s="3"/>
      <c r="F2" s="2" t="s">
        <v>15</v>
      </c>
      <c r="G2" s="3"/>
      <c r="H2" s="3"/>
      <c r="I2" s="3"/>
      <c r="K2" s="2" t="s">
        <v>16</v>
      </c>
      <c r="L2" s="3"/>
      <c r="M2" s="3"/>
      <c r="N2" s="3"/>
    </row>
    <row r="5" spans="1:14" x14ac:dyDescent="0.25">
      <c r="A5" s="4" t="s">
        <v>18</v>
      </c>
      <c r="B5" s="10" t="s">
        <v>0</v>
      </c>
      <c r="F5" s="8" t="s">
        <v>2</v>
      </c>
      <c r="G5" s="8" t="s">
        <v>3</v>
      </c>
      <c r="H5" s="9" t="s">
        <v>19</v>
      </c>
      <c r="I5" s="9" t="s">
        <v>20</v>
      </c>
      <c r="K5" t="s">
        <v>21</v>
      </c>
      <c r="L5" s="14">
        <f>SUM(G6:G10)</f>
        <v>185783</v>
      </c>
      <c r="M5" t="str">
        <f>A6&amp;" Apps sold"</f>
        <v>Utility Apps sold</v>
      </c>
    </row>
    <row r="6" spans="1:14" x14ac:dyDescent="0.25">
      <c r="A6" s="5" t="s">
        <v>5</v>
      </c>
      <c r="B6" t="s">
        <v>4</v>
      </c>
      <c r="F6" t="s">
        <v>6</v>
      </c>
      <c r="G6" s="7">
        <f>SUMIFS(RawData[Revenue],RawData[Year],$B$6,RawData[Division],$A$6,RawData[Region],$F6)</f>
        <v>40000</v>
      </c>
      <c r="H6" s="6" t="str">
        <f>IF(G6=MAX($G$6:$G$10),G6,"")</f>
        <v/>
      </c>
      <c r="I6" s="6">
        <f>AVERAGE($G$6:$G$10)</f>
        <v>37156.6</v>
      </c>
      <c r="K6" t="s">
        <v>19</v>
      </c>
      <c r="L6" t="str">
        <f>INDEX(F6:F10,MATCH(MAX(G6:G10),G6:G10,0))&amp;" bought the most "&amp;A6&amp;" apps"</f>
        <v>Asia bought the most Utility apps</v>
      </c>
    </row>
    <row r="7" spans="1:14" x14ac:dyDescent="0.25">
      <c r="F7" t="s">
        <v>7</v>
      </c>
      <c r="G7" s="7">
        <f>SUMIFS(RawData[Revenue],RawData[Year],$B$6,RawData[Division],$A$6,RawData[Region],$F7)</f>
        <v>20898</v>
      </c>
      <c r="H7" s="6" t="str">
        <f t="shared" ref="H7:H10" si="0">IF(G7=MAX($G$6:$G$10),G7,"")</f>
        <v/>
      </c>
      <c r="I7" s="6">
        <f t="shared" ref="I7:I10" si="1">AVERAGE($G$6:$G$10)</f>
        <v>37156.6</v>
      </c>
      <c r="K7" t="s">
        <v>22</v>
      </c>
      <c r="L7" t="str">
        <f>INDEX(F7:F11,MATCH(MIN(G7:G11),G7:G11,0))&amp;" bought the least "&amp;A6&amp;" apps"</f>
        <v>South America bought the least Utility apps</v>
      </c>
    </row>
    <row r="8" spans="1:14" x14ac:dyDescent="0.25">
      <c r="B8" s="12" t="str">
        <f>IF(COUNTA(A6:A8)&gt;1,"Please only select 1 Division!","")</f>
        <v/>
      </c>
      <c r="F8" t="s">
        <v>8</v>
      </c>
      <c r="G8" s="7">
        <f>SUMIFS(RawData[Revenue],RawData[Year],$B$6,RawData[Division],$A$6,RawData[Region],$F8)</f>
        <v>46994</v>
      </c>
      <c r="H8" s="6">
        <f t="shared" si="0"/>
        <v>46994</v>
      </c>
      <c r="I8" s="6">
        <f t="shared" si="1"/>
        <v>37156.6</v>
      </c>
    </row>
    <row r="9" spans="1:14" x14ac:dyDescent="0.25">
      <c r="F9" t="s">
        <v>9</v>
      </c>
      <c r="G9" s="7">
        <f>SUMIFS(RawData[Revenue],RawData[Year],$B$6,RawData[Division],$A$6,RawData[Region],$F9)</f>
        <v>43695</v>
      </c>
      <c r="H9" s="6" t="str">
        <f t="shared" si="0"/>
        <v/>
      </c>
      <c r="I9" s="6">
        <f t="shared" si="1"/>
        <v>37156.6</v>
      </c>
    </row>
    <row r="10" spans="1:14" x14ac:dyDescent="0.25">
      <c r="F10" t="s">
        <v>10</v>
      </c>
      <c r="G10" s="7">
        <f>SUMIFS(RawData[Revenue],RawData[Year],$B$6,RawData[Division],$A$6,RawData[Region],$F10)</f>
        <v>34196</v>
      </c>
      <c r="H10" s="6" t="str">
        <f t="shared" si="0"/>
        <v/>
      </c>
      <c r="I10" s="6">
        <f t="shared" si="1"/>
        <v>37156.6</v>
      </c>
    </row>
    <row r="23" spans="1:17" ht="15.75" customHeight="1" x14ac:dyDescent="0.25"/>
    <row r="27" spans="1:17" x14ac:dyDescent="0.25">
      <c r="A27" s="15" t="s">
        <v>23</v>
      </c>
      <c r="B27" s="16"/>
      <c r="C27" s="16"/>
      <c r="K27" s="27" t="s">
        <v>29</v>
      </c>
      <c r="L27" s="27"/>
      <c r="M27" s="27"/>
      <c r="N27" s="3"/>
      <c r="O27" s="3"/>
      <c r="P27" s="3"/>
      <c r="Q27" s="3"/>
    </row>
    <row r="29" spans="1:17" ht="15.75" x14ac:dyDescent="0.25">
      <c r="A29" s="18"/>
      <c r="B29" s="17" t="s">
        <v>24</v>
      </c>
      <c r="C29" s="18"/>
      <c r="D29" s="18"/>
      <c r="E29" s="18"/>
      <c r="F29" s="18"/>
      <c r="G29" s="18"/>
      <c r="M29" s="18"/>
      <c r="N29" s="21"/>
    </row>
    <row r="30" spans="1:17" ht="15.75" x14ac:dyDescent="0.25">
      <c r="A30" s="18"/>
      <c r="B30" s="23" t="s">
        <v>4</v>
      </c>
      <c r="C30" s="23"/>
      <c r="D30" s="23"/>
      <c r="E30" s="23" t="s">
        <v>13</v>
      </c>
      <c r="F30" s="23"/>
      <c r="G30" s="23"/>
      <c r="L30" t="s">
        <v>3</v>
      </c>
      <c r="M30" t="s">
        <v>31</v>
      </c>
      <c r="N30" t="s">
        <v>32</v>
      </c>
      <c r="O30" t="s">
        <v>33</v>
      </c>
    </row>
    <row r="31" spans="1:17" ht="15.75" x14ac:dyDescent="0.25">
      <c r="A31" s="17" t="s">
        <v>34</v>
      </c>
      <c r="B31" s="23" t="s">
        <v>25</v>
      </c>
      <c r="C31" s="24" t="s">
        <v>26</v>
      </c>
      <c r="D31" s="18" t="s">
        <v>28</v>
      </c>
      <c r="E31" s="23" t="s">
        <v>25</v>
      </c>
      <c r="F31" s="23" t="s">
        <v>26</v>
      </c>
      <c r="G31" s="18" t="s">
        <v>28</v>
      </c>
      <c r="K31" t="s">
        <v>5</v>
      </c>
      <c r="L31" s="6">
        <f>GETPIVOTDATA(" Revenue",$A$29,"Year","Current","Division",K31)</f>
        <v>34196</v>
      </c>
      <c r="M31" s="6">
        <f>MIN($L$31:$L$33)/2</f>
        <v>14638.5</v>
      </c>
      <c r="N31" s="6">
        <f>L31-M31-O31</f>
        <v>4919</v>
      </c>
      <c r="O31" s="6">
        <f>MIN($L$31:$L$33)/2</f>
        <v>14638.5</v>
      </c>
    </row>
    <row r="32" spans="1:17" ht="15.75" x14ac:dyDescent="0.25">
      <c r="A32" s="19" t="s">
        <v>5</v>
      </c>
      <c r="B32" s="20">
        <v>34196</v>
      </c>
      <c r="C32" s="26">
        <v>0.1422272696906941</v>
      </c>
      <c r="D32" s="25">
        <v>0.1422272696906941</v>
      </c>
      <c r="E32" s="20">
        <v>29938</v>
      </c>
      <c r="F32" s="22"/>
      <c r="G32" s="22"/>
      <c r="K32" t="s">
        <v>11</v>
      </c>
      <c r="L32" s="6">
        <f t="shared" ref="L32:L33" si="2">GETPIVOTDATA(" Revenue",$A$29,"Year","Current","Division",K32)</f>
        <v>29277</v>
      </c>
      <c r="M32" s="6">
        <f t="shared" ref="M32:O33" si="3">MIN($L$31:$L$33)/2</f>
        <v>14638.5</v>
      </c>
      <c r="N32" s="6">
        <f t="shared" ref="N32:N33" si="4">L32-M32-O32</f>
        <v>0</v>
      </c>
      <c r="O32" s="6">
        <f t="shared" si="3"/>
        <v>14638.5</v>
      </c>
    </row>
    <row r="33" spans="1:15" ht="15.75" x14ac:dyDescent="0.25">
      <c r="A33" s="19" t="s">
        <v>11</v>
      </c>
      <c r="B33" s="20">
        <v>29277</v>
      </c>
      <c r="C33" s="26">
        <v>1.524314536989136</v>
      </c>
      <c r="D33" s="25">
        <v>1.524314536989136</v>
      </c>
      <c r="E33" s="20">
        <v>11598</v>
      </c>
      <c r="F33" s="22"/>
      <c r="G33" s="22"/>
      <c r="K33" t="s">
        <v>30</v>
      </c>
      <c r="L33" s="6">
        <f t="shared" si="2"/>
        <v>49656</v>
      </c>
      <c r="M33" s="6">
        <f t="shared" si="3"/>
        <v>14638.5</v>
      </c>
      <c r="N33" s="6">
        <f t="shared" si="4"/>
        <v>20379</v>
      </c>
      <c r="O33" s="6">
        <f t="shared" si="3"/>
        <v>14638.5</v>
      </c>
    </row>
    <row r="34" spans="1:15" ht="15.75" x14ac:dyDescent="0.25">
      <c r="A34" s="19" t="s">
        <v>12</v>
      </c>
      <c r="B34" s="20">
        <v>49656</v>
      </c>
      <c r="C34" s="26">
        <v>1.483048304830483</v>
      </c>
      <c r="D34" s="25">
        <v>1.483048304830483</v>
      </c>
      <c r="E34" s="20">
        <v>19998</v>
      </c>
      <c r="F34" s="22"/>
      <c r="G34" s="22"/>
    </row>
    <row r="35" spans="1:15" ht="15.75" x14ac:dyDescent="0.25">
      <c r="A35" s="21" t="s">
        <v>27</v>
      </c>
      <c r="B35" s="20">
        <v>113129</v>
      </c>
      <c r="C35" s="26">
        <v>0.83847953976663303</v>
      </c>
      <c r="D35" s="25">
        <v>0.83847953976663303</v>
      </c>
      <c r="E35" s="20">
        <v>61534</v>
      </c>
      <c r="F35" s="22"/>
      <c r="G35" s="22"/>
    </row>
    <row r="50" spans="1:3" x14ac:dyDescent="0.25">
      <c r="A50" s="2" t="s">
        <v>17</v>
      </c>
      <c r="B50" s="3"/>
      <c r="C50" s="3"/>
    </row>
    <row r="52" spans="1:3" ht="75" customHeight="1" x14ac:dyDescent="0.25">
      <c r="A52" t="s">
        <v>5</v>
      </c>
      <c r="B52" s="11"/>
      <c r="C52" s="11"/>
    </row>
    <row r="53" spans="1:3" ht="71.25" customHeight="1" x14ac:dyDescent="0.25">
      <c r="A53" t="s">
        <v>11</v>
      </c>
      <c r="B53" s="11"/>
      <c r="C53" s="11"/>
    </row>
    <row r="54" spans="1:3" ht="68.25" customHeight="1" x14ac:dyDescent="0.25">
      <c r="A54" t="s">
        <v>30</v>
      </c>
      <c r="B54" s="11"/>
      <c r="C54" s="11"/>
    </row>
  </sheetData>
  <pageMargins left="0.7" right="0.7" top="0.75" bottom="0.75" header="0.3" footer="0.3"/>
  <pageSetup paperSize="9" orientation="portrait" r:id="rId3"/>
  <drawing r:id="rId4"/>
  <legacyDrawing r:id="rId5"/>
  <extLst>
    <ext xmlns:x14="http://schemas.microsoft.com/office/spreadsheetml/2009/9/main" uri="{78C0D931-6437-407d-A8EE-F0AAD7539E65}">
      <x14:conditionalFormattings>
        <x14:conditionalFormatting xmlns:xm="http://schemas.microsoft.com/office/excel/2006/main" pivot="1">
          <x14:cfRule type="iconSet" priority="1" id="{1E2BB1EF-887C-4E5D-9A98-0D3FD353A562}">
            <x14:iconSet iconSet="3Triangles" showValue="0" custom="1">
              <x14:cfvo type="percent">
                <xm:f>0</xm:f>
              </x14:cfvo>
              <x14:cfvo type="num">
                <xm:f>0</xm:f>
              </x14:cfvo>
              <x14:cfvo type="num">
                <xm:f>0</xm:f>
              </x14:cfvo>
              <x14:cfIcon iconSet="3Triangles" iconId="0"/>
              <x14:cfIcon iconSet="NoIcons" iconId="0"/>
              <x14:cfIcon iconSet="3Triangles" iconId="2"/>
            </x14:iconSet>
          </x14:cfRule>
          <xm:sqref>D32:D35 G32:G35</xm:sqref>
        </x14:conditionalFormatting>
      </x14:conditionalFormattings>
    </ext>
    <ext xmlns:x14="http://schemas.microsoft.com/office/spreadsheetml/2009/9/main" uri="{A8765BA9-456A-4dab-B4F3-ACF838C121DE}">
      <x14:slicerList>
        <x14:slicer r:id="rId6"/>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8A57F5-B2D1-4470-8AC4-20B898F454E7}">
  <sheetPr codeName="Sheet3"/>
  <dimension ref="A1:D31"/>
  <sheetViews>
    <sheetView workbookViewId="0">
      <selection activeCell="D2" sqref="D2"/>
    </sheetView>
  </sheetViews>
  <sheetFormatPr defaultRowHeight="15" x14ac:dyDescent="0.25"/>
  <cols>
    <col min="2" max="2" width="16" customWidth="1"/>
    <col min="3" max="3" width="12.28515625" bestFit="1" customWidth="1"/>
    <col min="4" max="4" width="9.7109375" customWidth="1"/>
    <col min="7" max="7" width="12.28515625" bestFit="1" customWidth="1"/>
  </cols>
  <sheetData>
    <row r="1" spans="1:4" x14ac:dyDescent="0.25">
      <c r="A1" s="1" t="s">
        <v>0</v>
      </c>
      <c r="B1" s="1" t="s">
        <v>1</v>
      </c>
      <c r="C1" s="1" t="s">
        <v>2</v>
      </c>
      <c r="D1" s="1" t="s">
        <v>3</v>
      </c>
    </row>
    <row r="2" spans="1:4" x14ac:dyDescent="0.25">
      <c r="A2" t="s">
        <v>4</v>
      </c>
      <c r="B2" t="s">
        <v>5</v>
      </c>
      <c r="C2" t="s">
        <v>6</v>
      </c>
      <c r="D2">
        <v>40000</v>
      </c>
    </row>
    <row r="3" spans="1:4" x14ac:dyDescent="0.25">
      <c r="A3" t="s">
        <v>4</v>
      </c>
      <c r="B3" t="s">
        <v>5</v>
      </c>
      <c r="C3" t="s">
        <v>7</v>
      </c>
      <c r="D3">
        <v>20898</v>
      </c>
    </row>
    <row r="4" spans="1:4" x14ac:dyDescent="0.25">
      <c r="A4" t="s">
        <v>4</v>
      </c>
      <c r="B4" t="s">
        <v>5</v>
      </c>
      <c r="C4" t="s">
        <v>8</v>
      </c>
      <c r="D4">
        <v>46994</v>
      </c>
    </row>
    <row r="5" spans="1:4" x14ac:dyDescent="0.25">
      <c r="A5" t="s">
        <v>4</v>
      </c>
      <c r="B5" t="s">
        <v>5</v>
      </c>
      <c r="C5" t="s">
        <v>9</v>
      </c>
      <c r="D5">
        <v>43695</v>
      </c>
    </row>
    <row r="6" spans="1:4" x14ac:dyDescent="0.25">
      <c r="A6" t="s">
        <v>4</v>
      </c>
      <c r="B6" t="s">
        <v>5</v>
      </c>
      <c r="C6" t="s">
        <v>10</v>
      </c>
      <c r="D6">
        <v>34196</v>
      </c>
    </row>
    <row r="7" spans="1:4" x14ac:dyDescent="0.25">
      <c r="A7" t="s">
        <v>4</v>
      </c>
      <c r="B7" t="s">
        <v>11</v>
      </c>
      <c r="C7" t="s">
        <v>6</v>
      </c>
      <c r="D7">
        <v>34155</v>
      </c>
    </row>
    <row r="8" spans="1:4" x14ac:dyDescent="0.25">
      <c r="A8" t="s">
        <v>4</v>
      </c>
      <c r="B8" t="s">
        <v>11</v>
      </c>
      <c r="C8" t="s">
        <v>7</v>
      </c>
      <c r="D8">
        <v>24396</v>
      </c>
    </row>
    <row r="9" spans="1:4" x14ac:dyDescent="0.25">
      <c r="A9" t="s">
        <v>4</v>
      </c>
      <c r="B9" t="s">
        <v>11</v>
      </c>
      <c r="C9" t="s">
        <v>8</v>
      </c>
      <c r="D9">
        <v>29276</v>
      </c>
    </row>
    <row r="10" spans="1:4" x14ac:dyDescent="0.25">
      <c r="A10" t="s">
        <v>4</v>
      </c>
      <c r="B10" t="s">
        <v>11</v>
      </c>
      <c r="C10" t="s">
        <v>9</v>
      </c>
      <c r="D10">
        <v>45540</v>
      </c>
    </row>
    <row r="11" spans="1:4" x14ac:dyDescent="0.25">
      <c r="A11" t="s">
        <v>4</v>
      </c>
      <c r="B11" t="s">
        <v>11</v>
      </c>
      <c r="C11" t="s">
        <v>10</v>
      </c>
      <c r="D11">
        <v>29277</v>
      </c>
    </row>
    <row r="12" spans="1:4" x14ac:dyDescent="0.25">
      <c r="A12" t="s">
        <v>4</v>
      </c>
      <c r="B12" t="s">
        <v>12</v>
      </c>
      <c r="C12" t="s">
        <v>6</v>
      </c>
      <c r="D12">
        <v>44675</v>
      </c>
    </row>
    <row r="13" spans="1:4" x14ac:dyDescent="0.25">
      <c r="A13" t="s">
        <v>4</v>
      </c>
      <c r="B13" t="s">
        <v>12</v>
      </c>
      <c r="C13" t="s">
        <v>7</v>
      </c>
      <c r="D13">
        <v>42569</v>
      </c>
    </row>
    <row r="14" spans="1:4" x14ac:dyDescent="0.25">
      <c r="A14" t="s">
        <v>4</v>
      </c>
      <c r="B14" t="s">
        <v>12</v>
      </c>
      <c r="C14" t="s">
        <v>8</v>
      </c>
      <c r="D14">
        <v>43784</v>
      </c>
    </row>
    <row r="15" spans="1:4" x14ac:dyDescent="0.25">
      <c r="A15" t="s">
        <v>4</v>
      </c>
      <c r="B15" t="s">
        <v>12</v>
      </c>
      <c r="C15" t="s">
        <v>9</v>
      </c>
      <c r="D15">
        <v>46336</v>
      </c>
    </row>
    <row r="16" spans="1:4" x14ac:dyDescent="0.25">
      <c r="A16" t="s">
        <v>4</v>
      </c>
      <c r="B16" t="s">
        <v>12</v>
      </c>
      <c r="C16" t="s">
        <v>10</v>
      </c>
      <c r="D16">
        <v>49656</v>
      </c>
    </row>
    <row r="17" spans="1:4" x14ac:dyDescent="0.25">
      <c r="A17" t="s">
        <v>13</v>
      </c>
      <c r="B17" t="s">
        <v>5</v>
      </c>
      <c r="C17" t="s">
        <v>6</v>
      </c>
      <c r="D17">
        <v>24325</v>
      </c>
    </row>
    <row r="18" spans="1:4" x14ac:dyDescent="0.25">
      <c r="A18" t="s">
        <v>13</v>
      </c>
      <c r="B18" t="s">
        <v>5</v>
      </c>
      <c r="C18" t="s">
        <v>7</v>
      </c>
      <c r="D18">
        <v>33681</v>
      </c>
    </row>
    <row r="19" spans="1:4" x14ac:dyDescent="0.25">
      <c r="A19" t="s">
        <v>13</v>
      </c>
      <c r="B19" t="s">
        <v>5</v>
      </c>
      <c r="C19" t="s">
        <v>8</v>
      </c>
      <c r="D19">
        <v>39295</v>
      </c>
    </row>
    <row r="20" spans="1:4" x14ac:dyDescent="0.25">
      <c r="A20" t="s">
        <v>13</v>
      </c>
      <c r="B20" t="s">
        <v>5</v>
      </c>
      <c r="C20" t="s">
        <v>9</v>
      </c>
      <c r="D20">
        <v>59878</v>
      </c>
    </row>
    <row r="21" spans="1:4" x14ac:dyDescent="0.25">
      <c r="A21" t="s">
        <v>13</v>
      </c>
      <c r="B21" t="s">
        <v>5</v>
      </c>
      <c r="C21" t="s">
        <v>10</v>
      </c>
      <c r="D21">
        <v>29938</v>
      </c>
    </row>
    <row r="22" spans="1:4" x14ac:dyDescent="0.25">
      <c r="A22" t="s">
        <v>13</v>
      </c>
      <c r="B22" t="s">
        <v>11</v>
      </c>
      <c r="C22" t="s">
        <v>6</v>
      </c>
      <c r="D22">
        <v>52311</v>
      </c>
    </row>
    <row r="23" spans="1:4" x14ac:dyDescent="0.25">
      <c r="A23" t="s">
        <v>13</v>
      </c>
      <c r="B23" t="s">
        <v>11</v>
      </c>
      <c r="C23" t="s">
        <v>7</v>
      </c>
      <c r="D23">
        <v>31955</v>
      </c>
    </row>
    <row r="24" spans="1:4" x14ac:dyDescent="0.25">
      <c r="A24" t="s">
        <v>13</v>
      </c>
      <c r="B24" t="s">
        <v>11</v>
      </c>
      <c r="C24" t="s">
        <v>8</v>
      </c>
      <c r="D24">
        <v>31955</v>
      </c>
    </row>
    <row r="25" spans="1:4" x14ac:dyDescent="0.25">
      <c r="A25" t="s">
        <v>13</v>
      </c>
      <c r="B25" t="s">
        <v>11</v>
      </c>
      <c r="C25" t="s">
        <v>9</v>
      </c>
      <c r="D25">
        <v>31955</v>
      </c>
    </row>
    <row r="26" spans="1:4" x14ac:dyDescent="0.25">
      <c r="A26" t="s">
        <v>13</v>
      </c>
      <c r="B26" t="s">
        <v>11</v>
      </c>
      <c r="C26" t="s">
        <v>10</v>
      </c>
      <c r="D26">
        <v>11598</v>
      </c>
    </row>
    <row r="27" spans="1:4" x14ac:dyDescent="0.25">
      <c r="A27" t="s">
        <v>13</v>
      </c>
      <c r="B27" t="s">
        <v>12</v>
      </c>
      <c r="C27" t="s">
        <v>6</v>
      </c>
      <c r="D27">
        <v>53963</v>
      </c>
    </row>
    <row r="28" spans="1:4" x14ac:dyDescent="0.25">
      <c r="A28" t="s">
        <v>13</v>
      </c>
      <c r="B28" t="s">
        <v>12</v>
      </c>
      <c r="C28" t="s">
        <v>7</v>
      </c>
      <c r="D28">
        <v>65965</v>
      </c>
    </row>
    <row r="29" spans="1:4" x14ac:dyDescent="0.25">
      <c r="A29" t="s">
        <v>13</v>
      </c>
      <c r="B29" t="s">
        <v>12</v>
      </c>
      <c r="C29" t="s">
        <v>8</v>
      </c>
      <c r="D29">
        <v>19989</v>
      </c>
    </row>
    <row r="30" spans="1:4" x14ac:dyDescent="0.25">
      <c r="A30" t="s">
        <v>13</v>
      </c>
      <c r="B30" t="s">
        <v>12</v>
      </c>
      <c r="C30" t="s">
        <v>9</v>
      </c>
      <c r="D30">
        <v>39979</v>
      </c>
    </row>
    <row r="31" spans="1:4" x14ac:dyDescent="0.25">
      <c r="A31" t="s">
        <v>13</v>
      </c>
      <c r="B31" t="s">
        <v>12</v>
      </c>
      <c r="C31" t="s">
        <v>10</v>
      </c>
      <c r="D31">
        <v>19998</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3</vt:i4>
      </vt:variant>
    </vt:vector>
  </HeadingPairs>
  <TitlesOfParts>
    <vt:vector size="4" baseType="lpstr">
      <vt:lpstr>Dashboard</vt:lpstr>
      <vt:lpstr>game</vt:lpstr>
      <vt:lpstr>Productivity</vt:lpstr>
      <vt:lpstr>Utility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Ashish Nohwar</dc:creator>
  <cp:lastModifiedBy>Ashish Nohwar</cp:lastModifiedBy>
  <dcterms:created xsi:type="dcterms:W3CDTF">2024-07-07T06:20:43Z</dcterms:created>
  <dcterms:modified xsi:type="dcterms:W3CDTF">2024-07-07T16:52:27Z</dcterms:modified>
</cp:coreProperties>
</file>